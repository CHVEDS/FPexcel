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ome\Desktop\PPECXEL\"/>
    </mc:Choice>
  </mc:AlternateContent>
  <xr:revisionPtr revIDLastSave="0" documentId="8_{956FE0E9-6515-44CE-8CB2-169D2C90CF4C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Исполнение" sheetId="1" r:id="rId1"/>
    <sheet name="Справочник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23" i="1" l="1"/>
  <c r="BL23" i="1"/>
  <c r="BG23" i="1"/>
  <c r="BH23" i="1" s="1"/>
  <c r="BD23" i="1"/>
  <c r="BE23" i="1" s="1"/>
  <c r="BC23" i="1"/>
  <c r="BB23" i="1"/>
  <c r="AZ23" i="1"/>
  <c r="AY23" i="1"/>
  <c r="AV23" i="1"/>
  <c r="AN23" i="1"/>
  <c r="AM23" i="1"/>
  <c r="AK23" i="1"/>
  <c r="AJ23" i="1"/>
  <c r="AH23" i="1"/>
  <c r="AG23" i="1"/>
  <c r="AE23" i="1"/>
  <c r="AC23" i="1"/>
  <c r="AB23" i="1"/>
  <c r="Z23" i="1"/>
  <c r="Y23" i="1"/>
  <c r="V23" i="1"/>
  <c r="Q23" i="1"/>
  <c r="P23" i="1"/>
  <c r="O23" i="1"/>
  <c r="I23" i="1"/>
  <c r="G23" i="1"/>
  <c r="E23" i="1"/>
  <c r="D23" i="1"/>
  <c r="BM22" i="1"/>
  <c r="BL22" i="1"/>
  <c r="BG22" i="1"/>
  <c r="BH22" i="1" s="1"/>
  <c r="BD22" i="1"/>
  <c r="BE22" i="1" s="1"/>
  <c r="BC22" i="1"/>
  <c r="BB22" i="1"/>
  <c r="AZ22" i="1"/>
  <c r="AY22" i="1"/>
  <c r="AV22" i="1"/>
  <c r="AN22" i="1"/>
  <c r="AM22" i="1"/>
  <c r="AH22" i="1"/>
  <c r="AG22" i="1"/>
  <c r="AC22" i="1"/>
  <c r="AB22" i="1"/>
  <c r="V22" i="1"/>
  <c r="Q22" i="1"/>
  <c r="P22" i="1"/>
  <c r="O22" i="1"/>
  <c r="Y22" i="1" s="1"/>
  <c r="I22" i="1"/>
  <c r="G22" i="1"/>
  <c r="E22" i="1"/>
  <c r="Z22" i="1" s="1"/>
  <c r="AK22" i="1" s="1"/>
  <c r="D22" i="1"/>
  <c r="BM21" i="1"/>
  <c r="BL21" i="1"/>
  <c r="BG21" i="1"/>
  <c r="BH21" i="1" s="1"/>
  <c r="BD21" i="1"/>
  <c r="BE21" i="1" s="1"/>
  <c r="BC21" i="1"/>
  <c r="BB21" i="1"/>
  <c r="AZ21" i="1"/>
  <c r="AY21" i="1"/>
  <c r="AV21" i="1"/>
  <c r="AN21" i="1"/>
  <c r="AM21" i="1"/>
  <c r="AK21" i="1"/>
  <c r="AJ21" i="1"/>
  <c r="AH21" i="1"/>
  <c r="AG21" i="1"/>
  <c r="AE21" i="1"/>
  <c r="V21" i="1"/>
  <c r="Q21" i="1"/>
  <c r="P21" i="1"/>
  <c r="O21" i="1"/>
  <c r="Y21" i="1" s="1"/>
  <c r="AB21" i="1" s="1"/>
  <c r="I21" i="1"/>
  <c r="G21" i="1"/>
  <c r="E21" i="1"/>
  <c r="Z21" i="1" s="1"/>
  <c r="AC21" i="1" s="1"/>
  <c r="D21" i="1"/>
  <c r="BM20" i="1"/>
  <c r="BL20" i="1"/>
  <c r="BG20" i="1"/>
  <c r="BH20" i="1" s="1"/>
  <c r="BD20" i="1"/>
  <c r="BE20" i="1" s="1"/>
  <c r="BC20" i="1"/>
  <c r="BB20" i="1"/>
  <c r="AZ20" i="1"/>
  <c r="AY20" i="1"/>
  <c r="AV20" i="1"/>
  <c r="AN20" i="1"/>
  <c r="AM20" i="1"/>
  <c r="AK20" i="1"/>
  <c r="AJ20" i="1"/>
  <c r="AH20" i="1"/>
  <c r="AG20" i="1"/>
  <c r="AE20" i="1"/>
  <c r="AC20" i="1"/>
  <c r="AB20" i="1"/>
  <c r="Z20" i="1"/>
  <c r="Y20" i="1"/>
  <c r="V20" i="1"/>
  <c r="Q20" i="1"/>
  <c r="P20" i="1"/>
  <c r="O20" i="1"/>
  <c r="I20" i="1"/>
  <c r="G20" i="1"/>
  <c r="E20" i="1"/>
  <c r="D20" i="1"/>
  <c r="BM19" i="1"/>
  <c r="BL19" i="1"/>
  <c r="BG19" i="1"/>
  <c r="BH19" i="1" s="1"/>
  <c r="BD19" i="1"/>
  <c r="BE19" i="1" s="1"/>
  <c r="BC19" i="1"/>
  <c r="BB19" i="1"/>
  <c r="AZ19" i="1"/>
  <c r="AY19" i="1"/>
  <c r="AV19" i="1"/>
  <c r="AN19" i="1"/>
  <c r="AM19" i="1"/>
  <c r="AK19" i="1"/>
  <c r="AJ19" i="1"/>
  <c r="AH19" i="1"/>
  <c r="AG19" i="1"/>
  <c r="AE19" i="1"/>
  <c r="AC19" i="1"/>
  <c r="AB19" i="1"/>
  <c r="V19" i="1"/>
  <c r="Q19" i="1"/>
  <c r="P19" i="1"/>
  <c r="O19" i="1"/>
  <c r="Y19" i="1" s="1"/>
  <c r="I19" i="1"/>
  <c r="G19" i="1"/>
  <c r="E19" i="1"/>
  <c r="Z19" i="1" s="1"/>
  <c r="D19" i="1"/>
  <c r="BM18" i="1"/>
  <c r="BL18" i="1"/>
  <c r="BG18" i="1"/>
  <c r="BH18" i="1" s="1"/>
  <c r="BD18" i="1"/>
  <c r="BE18" i="1" s="1"/>
  <c r="BC18" i="1"/>
  <c r="BB18" i="1"/>
  <c r="AZ18" i="1"/>
  <c r="AY18" i="1"/>
  <c r="AV18" i="1"/>
  <c r="AN18" i="1"/>
  <c r="AM18" i="1"/>
  <c r="AK18" i="1"/>
  <c r="AJ18" i="1"/>
  <c r="AH18" i="1"/>
  <c r="AG18" i="1"/>
  <c r="AE18" i="1"/>
  <c r="AC18" i="1"/>
  <c r="AB18" i="1"/>
  <c r="Z18" i="1"/>
  <c r="Y18" i="1"/>
  <c r="V18" i="1"/>
  <c r="Q18" i="1"/>
  <c r="P18" i="1"/>
  <c r="O18" i="1"/>
  <c r="I18" i="1"/>
  <c r="G18" i="1"/>
  <c r="E18" i="1"/>
  <c r="D18" i="1"/>
  <c r="BM17" i="1"/>
  <c r="BL17" i="1"/>
  <c r="BG17" i="1"/>
  <c r="BH17" i="1" s="1"/>
  <c r="BD17" i="1"/>
  <c r="BE17" i="1" s="1"/>
  <c r="BC17" i="1"/>
  <c r="BB17" i="1"/>
  <c r="AZ17" i="1"/>
  <c r="AY17" i="1"/>
  <c r="AV17" i="1"/>
  <c r="AN17" i="1"/>
  <c r="AM17" i="1"/>
  <c r="AK17" i="1"/>
  <c r="AJ17" i="1"/>
  <c r="AH17" i="1"/>
  <c r="AG17" i="1"/>
  <c r="AE17" i="1"/>
  <c r="AC17" i="1"/>
  <c r="AB17" i="1"/>
  <c r="Z17" i="1"/>
  <c r="Y17" i="1"/>
  <c r="V17" i="1"/>
  <c r="Q17" i="1"/>
  <c r="P17" i="1"/>
  <c r="O17" i="1"/>
  <c r="I17" i="1"/>
  <c r="G17" i="1"/>
  <c r="E17" i="1"/>
  <c r="D17" i="1"/>
  <c r="BM16" i="1"/>
  <c r="BL16" i="1"/>
  <c r="BG16" i="1"/>
  <c r="BH16" i="1" s="1"/>
  <c r="BD16" i="1"/>
  <c r="BE16" i="1" s="1"/>
  <c r="BC16" i="1"/>
  <c r="BB16" i="1"/>
  <c r="AZ16" i="1"/>
  <c r="AY16" i="1"/>
  <c r="AV16" i="1"/>
  <c r="AN16" i="1"/>
  <c r="AM16" i="1"/>
  <c r="AK16" i="1"/>
  <c r="AJ16" i="1"/>
  <c r="AH16" i="1"/>
  <c r="AG16" i="1"/>
  <c r="AE16" i="1"/>
  <c r="AC16" i="1"/>
  <c r="AB16" i="1"/>
  <c r="Z16" i="1"/>
  <c r="Y16" i="1"/>
  <c r="V16" i="1"/>
  <c r="Q16" i="1"/>
  <c r="P16" i="1"/>
  <c r="O16" i="1"/>
  <c r="I16" i="1"/>
  <c r="G16" i="1"/>
  <c r="E16" i="1"/>
  <c r="D16" i="1"/>
  <c r="BM15" i="1"/>
  <c r="BL15" i="1"/>
  <c r="BG15" i="1"/>
  <c r="BH15" i="1" s="1"/>
  <c r="BD15" i="1"/>
  <c r="BE15" i="1" s="1"/>
  <c r="BC15" i="1"/>
  <c r="BB15" i="1"/>
  <c r="AZ15" i="1"/>
  <c r="AY15" i="1"/>
  <c r="AV15" i="1"/>
  <c r="AN15" i="1"/>
  <c r="AM15" i="1"/>
  <c r="AK15" i="1"/>
  <c r="AJ15" i="1"/>
  <c r="AC15" i="1"/>
  <c r="AB15" i="1"/>
  <c r="V15" i="1"/>
  <c r="P15" i="1"/>
  <c r="I15" i="1"/>
  <c r="G15" i="1"/>
  <c r="E15" i="1"/>
  <c r="D15" i="1"/>
  <c r="O15" i="1" s="1"/>
  <c r="Y15" i="1" s="1"/>
  <c r="BM14" i="1"/>
  <c r="BL14" i="1"/>
  <c r="BG14" i="1"/>
  <c r="BH14" i="1" s="1"/>
  <c r="BD14" i="1"/>
  <c r="BE14" i="1" s="1"/>
  <c r="BC14" i="1"/>
  <c r="BB14" i="1"/>
  <c r="AZ14" i="1"/>
  <c r="AY14" i="1"/>
  <c r="AV14" i="1"/>
  <c r="AN14" i="1"/>
  <c r="AM14" i="1"/>
  <c r="AK14" i="1"/>
  <c r="AJ14" i="1"/>
  <c r="AH14" i="1"/>
  <c r="AG14" i="1"/>
  <c r="AE14" i="1"/>
  <c r="V14" i="1"/>
  <c r="P14" i="1"/>
  <c r="I14" i="1"/>
  <c r="G14" i="1"/>
  <c r="E14" i="1"/>
  <c r="D14" i="1"/>
  <c r="O14" i="1" s="1"/>
  <c r="Y14" i="1" s="1"/>
  <c r="AB14" i="1" s="1"/>
  <c r="BM13" i="1"/>
  <c r="BL13" i="1"/>
  <c r="BG13" i="1"/>
  <c r="BH13" i="1" s="1"/>
  <c r="BD13" i="1"/>
  <c r="BE13" i="1" s="1"/>
  <c r="BC13" i="1"/>
  <c r="BB13" i="1"/>
  <c r="AZ13" i="1"/>
  <c r="AY13" i="1"/>
  <c r="AV13" i="1"/>
  <c r="AN13" i="1"/>
  <c r="AM13" i="1"/>
  <c r="AK13" i="1"/>
  <c r="AJ13" i="1"/>
  <c r="AC13" i="1"/>
  <c r="AB13" i="1"/>
  <c r="V13" i="1"/>
  <c r="P13" i="1"/>
  <c r="I13" i="1"/>
  <c r="G13" i="1"/>
  <c r="E13" i="1"/>
  <c r="D13" i="1"/>
  <c r="O13" i="1" s="1"/>
  <c r="Y13" i="1" s="1"/>
  <c r="BM12" i="1"/>
  <c r="BL12" i="1"/>
  <c r="BG12" i="1"/>
  <c r="BH12" i="1" s="1"/>
  <c r="BD12" i="1"/>
  <c r="BE12" i="1" s="1"/>
  <c r="BC12" i="1"/>
  <c r="BB12" i="1"/>
  <c r="AZ12" i="1"/>
  <c r="AY12" i="1"/>
  <c r="AV12" i="1"/>
  <c r="AN12" i="1"/>
  <c r="AM12" i="1"/>
  <c r="AK12" i="1"/>
  <c r="AJ12" i="1"/>
  <c r="AC12" i="1"/>
  <c r="AB12" i="1"/>
  <c r="V12" i="1"/>
  <c r="P12" i="1"/>
  <c r="I12" i="1"/>
  <c r="G12" i="1"/>
  <c r="E12" i="1"/>
  <c r="D12" i="1"/>
  <c r="O12" i="1" s="1"/>
  <c r="Y12" i="1" s="1"/>
  <c r="BM11" i="1"/>
  <c r="BL11" i="1"/>
  <c r="BG11" i="1"/>
  <c r="BH11" i="1" s="1"/>
  <c r="BD11" i="1"/>
  <c r="BE11" i="1" s="1"/>
  <c r="AZ11" i="1"/>
  <c r="AY11" i="1"/>
  <c r="AN11" i="1"/>
  <c r="AM11" i="1"/>
  <c r="AK11" i="1"/>
  <c r="AJ11" i="1"/>
  <c r="AH11" i="1"/>
  <c r="AG11" i="1"/>
  <c r="AC11" i="1"/>
  <c r="AB11" i="1"/>
  <c r="V11" i="1"/>
  <c r="P11" i="1"/>
  <c r="I11" i="1"/>
  <c r="G11" i="1"/>
  <c r="E11" i="1"/>
  <c r="D11" i="1"/>
  <c r="BM10" i="1"/>
  <c r="BL10" i="1"/>
  <c r="BG10" i="1"/>
  <c r="BH10" i="1" s="1"/>
  <c r="BD10" i="1"/>
  <c r="BE10" i="1" s="1"/>
  <c r="AZ10" i="1"/>
  <c r="AY10" i="1"/>
  <c r="AN10" i="1"/>
  <c r="AM10" i="1"/>
  <c r="AK10" i="1"/>
  <c r="AJ10" i="1"/>
  <c r="AH10" i="1"/>
  <c r="AG10" i="1"/>
  <c r="AC10" i="1"/>
  <c r="AB10" i="1"/>
  <c r="V10" i="1"/>
  <c r="P10" i="1"/>
  <c r="I10" i="1"/>
  <c r="G10" i="1"/>
  <c r="E10" i="1"/>
  <c r="D10" i="1"/>
  <c r="BM9" i="1"/>
  <c r="BL9" i="1"/>
  <c r="BG9" i="1"/>
  <c r="BH9" i="1" s="1"/>
  <c r="BD9" i="1"/>
  <c r="BE9" i="1" s="1"/>
  <c r="AZ9" i="1"/>
  <c r="AY9" i="1"/>
  <c r="AN9" i="1"/>
  <c r="AM9" i="1"/>
  <c r="AK9" i="1"/>
  <c r="AJ9" i="1"/>
  <c r="AH9" i="1"/>
  <c r="AG9" i="1"/>
  <c r="AC9" i="1"/>
  <c r="AB9" i="1"/>
  <c r="V9" i="1"/>
  <c r="P9" i="1"/>
  <c r="I9" i="1"/>
  <c r="G9" i="1"/>
  <c r="E9" i="1"/>
  <c r="D9" i="1"/>
  <c r="BM8" i="1"/>
  <c r="BL8" i="1"/>
  <c r="BG8" i="1"/>
  <c r="BH8" i="1" s="1"/>
  <c r="BD8" i="1"/>
  <c r="BE8" i="1" s="1"/>
  <c r="AZ8" i="1"/>
  <c r="AY8" i="1"/>
  <c r="AN8" i="1"/>
  <c r="AM8" i="1"/>
  <c r="AK8" i="1"/>
  <c r="AJ8" i="1"/>
  <c r="AH8" i="1"/>
  <c r="AG8" i="1"/>
  <c r="AC8" i="1"/>
  <c r="AB8" i="1"/>
  <c r="V8" i="1"/>
  <c r="P8" i="1"/>
  <c r="I8" i="1"/>
  <c r="G8" i="1"/>
  <c r="E8" i="1"/>
  <c r="D8" i="1"/>
  <c r="BM7" i="1"/>
  <c r="BL7" i="1"/>
  <c r="BG7" i="1"/>
  <c r="BH7" i="1" s="1"/>
  <c r="BD7" i="1"/>
  <c r="BE7" i="1" s="1"/>
  <c r="AZ7" i="1"/>
  <c r="AY7" i="1"/>
  <c r="AN7" i="1"/>
  <c r="AM7" i="1"/>
  <c r="AK7" i="1"/>
  <c r="AJ7" i="1"/>
  <c r="AH7" i="1"/>
  <c r="AG7" i="1"/>
  <c r="AC7" i="1"/>
  <c r="AB7" i="1"/>
  <c r="V7" i="1"/>
  <c r="P7" i="1"/>
  <c r="I7" i="1"/>
  <c r="G7" i="1"/>
  <c r="E7" i="1"/>
  <c r="D7" i="1"/>
  <c r="BG6" i="1"/>
  <c r="BH6" i="1" s="1"/>
  <c r="BD6" i="1"/>
  <c r="BE6" i="1" s="1"/>
  <c r="BC6" i="1"/>
  <c r="BB6" i="1"/>
  <c r="AZ6" i="1"/>
  <c r="AY6" i="1"/>
  <c r="AN6" i="1"/>
  <c r="AM6" i="1"/>
  <c r="AK6" i="1"/>
  <c r="AJ6" i="1"/>
  <c r="AH6" i="1"/>
  <c r="AG6" i="1"/>
  <c r="AC6" i="1"/>
  <c r="AB6" i="1"/>
  <c r="V6" i="1"/>
  <c r="P6" i="1"/>
  <c r="I6" i="1"/>
  <c r="G6" i="1"/>
  <c r="E6" i="1"/>
  <c r="D6" i="1"/>
  <c r="BL5" i="1"/>
  <c r="BG5" i="1"/>
  <c r="BH5" i="1" s="1"/>
  <c r="BD5" i="1"/>
  <c r="BE5" i="1" s="1"/>
  <c r="AZ5" i="1"/>
  <c r="AY5" i="1"/>
  <c r="AN5" i="1"/>
  <c r="AM5" i="1"/>
  <c r="AK5" i="1"/>
  <c r="AJ5" i="1"/>
  <c r="AH5" i="1"/>
  <c r="AG5" i="1"/>
  <c r="AC5" i="1"/>
  <c r="AB5" i="1"/>
  <c r="V5" i="1"/>
  <c r="P5" i="1"/>
  <c r="I5" i="1"/>
  <c r="G5" i="1"/>
  <c r="E5" i="1"/>
  <c r="BC5" i="1" s="1"/>
  <c r="D5" i="1"/>
  <c r="BG4" i="1"/>
  <c r="BH4" i="1" s="1"/>
  <c r="BD4" i="1"/>
  <c r="BE4" i="1" s="1"/>
  <c r="AZ4" i="1"/>
  <c r="AY4" i="1"/>
  <c r="AN4" i="1"/>
  <c r="AM4" i="1"/>
  <c r="AK4" i="1"/>
  <c r="AJ4" i="1"/>
  <c r="AH4" i="1"/>
  <c r="AG4" i="1"/>
  <c r="AC4" i="1"/>
  <c r="AB4" i="1"/>
  <c r="V4" i="1"/>
  <c r="P4" i="1"/>
  <c r="I4" i="1"/>
  <c r="G4" i="1"/>
  <c r="E4" i="1"/>
  <c r="D4" i="1"/>
  <c r="AE22" i="1" l="1"/>
  <c r="AJ22" i="1"/>
  <c r="Z15" i="1"/>
  <c r="AH15" i="1" s="1"/>
  <c r="Q15" i="1"/>
  <c r="AE15" i="1"/>
  <c r="AG15" i="1"/>
  <c r="Q14" i="1"/>
  <c r="Z14" i="1"/>
  <c r="AC14" i="1" s="1"/>
  <c r="Z13" i="1"/>
  <c r="AH13" i="1" s="1"/>
  <c r="Q13" i="1"/>
  <c r="AE13" i="1"/>
  <c r="AG13" i="1"/>
  <c r="Z12" i="1"/>
  <c r="AH12" i="1" s="1"/>
  <c r="Q12" i="1"/>
  <c r="AE12" i="1"/>
  <c r="AG12" i="1"/>
  <c r="BC11" i="1"/>
  <c r="Q11" i="1"/>
  <c r="Z11" i="1"/>
  <c r="AV11" i="1"/>
  <c r="O11" i="1"/>
  <c r="Q10" i="1"/>
  <c r="BC10" i="1"/>
  <c r="Z10" i="1"/>
  <c r="O10" i="1"/>
  <c r="AV10" i="1"/>
  <c r="BC9" i="1"/>
  <c r="Z9" i="1"/>
  <c r="Q9" i="1"/>
  <c r="AV9" i="1"/>
  <c r="O9" i="1"/>
  <c r="Q8" i="1"/>
  <c r="Z8" i="1"/>
  <c r="BC8" i="1"/>
  <c r="O8" i="1"/>
  <c r="AV8" i="1"/>
  <c r="BC7" i="1"/>
  <c r="Q7" i="1"/>
  <c r="Z7" i="1"/>
  <c r="AV7" i="1"/>
  <c r="O7" i="1"/>
  <c r="Q6" i="1"/>
  <c r="BM6" i="1" s="1"/>
  <c r="Z6" i="1"/>
  <c r="BL6" i="1"/>
  <c r="AV6" i="1"/>
  <c r="O6" i="1"/>
  <c r="Y6" i="1" s="1"/>
  <c r="AE6" i="1" s="1"/>
  <c r="Z5" i="1"/>
  <c r="Q5" i="1"/>
  <c r="BM5" i="1" s="1"/>
  <c r="AV5" i="1"/>
  <c r="O5" i="1"/>
  <c r="BC4" i="1"/>
  <c r="Z4" i="1"/>
  <c r="Q4" i="1"/>
  <c r="BM4" i="1" s="1"/>
  <c r="BL4" i="1"/>
  <c r="AV4" i="1"/>
  <c r="O4" i="1"/>
  <c r="Y11" i="1" l="1"/>
  <c r="AE11" i="1" s="1"/>
  <c r="BB11" i="1"/>
  <c r="Y10" i="1"/>
  <c r="AE10" i="1" s="1"/>
  <c r="BB10" i="1"/>
  <c r="Y9" i="1"/>
  <c r="AE9" i="1" s="1"/>
  <c r="BB9" i="1"/>
  <c r="Y8" i="1"/>
  <c r="AE8" i="1" s="1"/>
  <c r="BB8" i="1"/>
  <c r="BB7" i="1"/>
  <c r="Y7" i="1"/>
  <c r="AE7" i="1" s="1"/>
  <c r="Y5" i="1"/>
  <c r="AE5" i="1" s="1"/>
  <c r="BB5" i="1"/>
  <c r="Y4" i="1"/>
  <c r="AE4" i="1" s="1"/>
  <c r="BB4" i="1"/>
</calcChain>
</file>

<file path=xl/sharedStrings.xml><?xml version="1.0" encoding="utf-8"?>
<sst xmlns="http://schemas.openxmlformats.org/spreadsheetml/2006/main" count="241" uniqueCount="143">
  <si>
    <t>Основные данные</t>
  </si>
  <si>
    <t>Балансовая стоимость</t>
  </si>
  <si>
    <t>Финансово-экономический анализ</t>
  </si>
  <si>
    <t>Наименование</t>
  </si>
  <si>
    <t>Данные поступления в реестр</t>
  </si>
  <si>
    <t>Согласование</t>
  </si>
  <si>
    <t>Оплата</t>
  </si>
  <si>
    <t>АКТ / Факт</t>
  </si>
  <si>
    <t>Связка с ЦФУ</t>
  </si>
  <si>
    <t>Связка ОФЗ</t>
  </si>
  <si>
    <t>Страхование</t>
  </si>
  <si>
    <t>Закрытие</t>
  </si>
  <si>
    <t>№ п/п</t>
  </si>
  <si>
    <t>Код позиции (группы) КС</t>
  </si>
  <si>
    <t>№</t>
  </si>
  <si>
    <t>Наименование исполнителя</t>
  </si>
  <si>
    <t>Дата поступления</t>
  </si>
  <si>
    <t>Признак №</t>
  </si>
  <si>
    <t>Признак ненаступления</t>
  </si>
  <si>
    <t>№ договора (в работе)</t>
  </si>
  <si>
    <t>Дата закрытия</t>
  </si>
  <si>
    <t>№ в реестре</t>
  </si>
  <si>
    <t>Итого после связки</t>
  </si>
  <si>
    <t>Итого остаток</t>
  </si>
  <si>
    <t>Остаток по позиции</t>
  </si>
  <si>
    <t>Сдано КС</t>
  </si>
  <si>
    <t>№ договора при закрытии</t>
  </si>
  <si>
    <t>Наименование исполнителя при закрытии</t>
  </si>
  <si>
    <t>Тип лимита позиции</t>
  </si>
  <si>
    <t>% исполнения по позиции</t>
  </si>
  <si>
    <t>Тип работ</t>
  </si>
  <si>
    <t>КАД</t>
  </si>
  <si>
    <t>ИНН исполнителя (позиции) КС</t>
  </si>
  <si>
    <t>Наименование объекта</t>
  </si>
  <si>
    <t>Дата поступления на СФ в 1С</t>
  </si>
  <si>
    <t>КАД-СФ</t>
  </si>
  <si>
    <t>ИНН исполнителя</t>
  </si>
  <si>
    <t>Дата решения по СФ (позиция)</t>
  </si>
  <si>
    <t>Дата согласования</t>
  </si>
  <si>
    <t>Признак подписания</t>
  </si>
  <si>
    <t>КАД (в экспертизе)</t>
  </si>
  <si>
    <t>Дата экспертизы</t>
  </si>
  <si>
    <t>Дата оплаты</t>
  </si>
  <si>
    <t>Признак оплаты</t>
  </si>
  <si>
    <t>ИНН при оплате</t>
  </si>
  <si>
    <t>Примечание</t>
  </si>
  <si>
    <t>№ документа</t>
  </si>
  <si>
    <t>Флаг завершения</t>
  </si>
  <si>
    <t>Сумма, тыс руб</t>
  </si>
  <si>
    <t>Примечание к факту</t>
  </si>
  <si>
    <t>Признак исполнения</t>
  </si>
  <si>
    <t>Сумма связки с ЦФУ, тыс</t>
  </si>
  <si>
    <t>Итого связка</t>
  </si>
  <si>
    <t>Дата связки</t>
  </si>
  <si>
    <t>Дата поступления ОФЗ</t>
  </si>
  <si>
    <t>ИНН исполнителя ОФЗ</t>
  </si>
  <si>
    <t>ИНН страхования</t>
  </si>
  <si>
    <t>% исполнения страх.</t>
  </si>
  <si>
    <t>Тип завершения</t>
  </si>
  <si>
    <t>Примечание к закрытию</t>
  </si>
  <si>
    <t>К 28.48.05</t>
  </si>
  <si>
    <t>КС</t>
  </si>
  <si>
    <t>Подряд КС</t>
  </si>
  <si>
    <t>Ремонт кровли корпуса А</t>
  </si>
  <si>
    <t>Подписан КС</t>
  </si>
  <si>
    <t>По договору</t>
  </si>
  <si>
    <t>по</t>
  </si>
  <si>
    <t>Сопроводительное по КС</t>
  </si>
  <si>
    <t>Замена окон корпуса А</t>
  </si>
  <si>
    <t>К 26.45.07</t>
  </si>
  <si>
    <t>Установка оборудования</t>
  </si>
  <si>
    <t>ФЗ 38.27.10</t>
  </si>
  <si>
    <t>ФЗ-44</t>
  </si>
  <si>
    <t>Поставка</t>
  </si>
  <si>
    <t>Разработка программного модуля</t>
  </si>
  <si>
    <t>Подписан</t>
  </si>
  <si>
    <t>Не предусмотрено договором</t>
  </si>
  <si>
    <t>ФЗ 38.27.08</t>
  </si>
  <si>
    <t>Услуги</t>
  </si>
  <si>
    <t>Сервисное обслуживание систем</t>
  </si>
  <si>
    <t>ФЗ 38.27.05</t>
  </si>
  <si>
    <t>Поставка серверного оборудования</t>
  </si>
  <si>
    <t>К 26.45.01</t>
  </si>
  <si>
    <t>Прокладка кабелей связи</t>
  </si>
  <si>
    <t>Сдача объекта заказчику</t>
  </si>
  <si>
    <t>К 28.48.04</t>
  </si>
  <si>
    <t>Монтаж вентиляционной системы</t>
  </si>
  <si>
    <t>Реконструкция фасада здания</t>
  </si>
  <si>
    <t>ФЗ 38.27.09</t>
  </si>
  <si>
    <t>Интеграция API информационной системы</t>
  </si>
  <si>
    <t>ФЗ 38.27.07</t>
  </si>
  <si>
    <t>Обучение персонала</t>
  </si>
  <si>
    <t>Поставка программного обеспечения</t>
  </si>
  <si>
    <t>Техническая поддержка ИС</t>
  </si>
  <si>
    <t>Консультационные услуги</t>
  </si>
  <si>
    <t>Разработка технической документации</t>
  </si>
  <si>
    <t>Настройка и конфигурация серверов</t>
  </si>
  <si>
    <t>Монтаж распределительных щитов</t>
  </si>
  <si>
    <t>Испытания и наладка системы</t>
  </si>
  <si>
    <t>Пусконаладочные работы</t>
  </si>
  <si>
    <t>Код позиции</t>
  </si>
  <si>
    <t>№ договора</t>
  </si>
  <si>
    <t>ИНН</t>
  </si>
  <si>
    <t>Сумма договора, тыс</t>
  </si>
  <si>
    <t>ДГ-001/2023</t>
  </si>
  <si>
    <t>7701234567</t>
  </si>
  <si>
    <t>ДГ-002/2023</t>
  </si>
  <si>
    <t>7709876543</t>
  </si>
  <si>
    <t>ДГ-003/2023</t>
  </si>
  <si>
    <t>772011223344</t>
  </si>
  <si>
    <t>ДГ-004/2023</t>
  </si>
  <si>
    <t>7714567890</t>
  </si>
  <si>
    <t>ДГ-005/2023</t>
  </si>
  <si>
    <t>7703214569</t>
  </si>
  <si>
    <t>ДГ-006/2023</t>
  </si>
  <si>
    <t>7706543217</t>
  </si>
  <si>
    <t>ДГ-007/2023</t>
  </si>
  <si>
    <t>7708901236</t>
  </si>
  <si>
    <t>ДГ-008/2023</t>
  </si>
  <si>
    <t>7712345678</t>
  </si>
  <si>
    <t>ДГ-009/2023</t>
  </si>
  <si>
    <t>7715678901</t>
  </si>
  <si>
    <t>К 28.48.03</t>
  </si>
  <si>
    <t>ДГ-010/2023</t>
  </si>
  <si>
    <t>7718901234</t>
  </si>
  <si>
    <t>К 26.45.06</t>
  </si>
  <si>
    <t>ДГ-011/2023</t>
  </si>
  <si>
    <t>7721234567</t>
  </si>
  <si>
    <t>ФЗ 38.27.06</t>
  </si>
  <si>
    <t>ДГ-012/2023</t>
  </si>
  <si>
    <t>7724567890</t>
  </si>
  <si>
    <t>ООО «AAAA»</t>
  </si>
  <si>
    <t>АО «BBB»</t>
  </si>
  <si>
    <t>ИП YYY</t>
  </si>
  <si>
    <t>ООО «UUU»</t>
  </si>
  <si>
    <t>ЗАО «PPP»</t>
  </si>
  <si>
    <t>ООО «DDD»</t>
  </si>
  <si>
    <t>АО «GGG»</t>
  </si>
  <si>
    <t>ООО «RRR»</t>
  </si>
  <si>
    <t>ГУП «BBB»</t>
  </si>
  <si>
    <t>ООО «QQQ»</t>
  </si>
  <si>
    <t>ООО «ZZZ»</t>
  </si>
  <si>
    <t>АО «NNN»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</si>
</sst>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.mm\.yyyy"/>
  </numFmts>
  <fonts count="5" x14ac:knownFonts="1">
    <font>
      <sz val="11"/>
      <color theme="1"/>
      <name val="Calibri"/>
      <family val="2"/>
      <scheme val="minor"/>
    </font>
    <font>
      <b/>
      <sz val="10"/>
      <name val="Calibri"/>
    </font>
    <font>
      <sz val="10"/>
      <name val="Calibri"/>
    </font>
    <font>
      <b/>
      <sz val="9"/>
      <name val="Calibri"/>
    </font>
    <font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D9D9D9"/>
      </patternFill>
    </fill>
    <fill>
      <patternFill patternType="solid">
        <fgColor rgb="FFFFFF89"/>
      </patternFill>
    </fill>
    <fill>
      <patternFill patternType="solid">
        <fgColor rgb="FF00B0F0"/>
      </patternFill>
    </fill>
    <fill>
      <patternFill patternType="solid">
        <fgColor rgb="FFFE9C9C"/>
      </patternFill>
    </fill>
    <fill>
      <patternFill patternType="solid">
        <fgColor rgb="FF94FEC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165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3" fontId="4" fillId="5" borderId="0" xfId="0" applyNumberFormat="1" applyFont="1" applyFill="1" applyAlignment="1">
      <alignment horizontal="center" vertical="center"/>
    </xf>
    <xf numFmtId="0" fontId="4" fillId="5" borderId="0" xfId="0" applyFont="1" applyFill="1" applyAlignment="1">
      <alignment horizontal="left" vertical="center"/>
    </xf>
    <xf numFmtId="165" fontId="4" fillId="6" borderId="0" xfId="0" applyNumberFormat="1" applyFont="1" applyFill="1" applyAlignment="1">
      <alignment horizontal="center" vertical="center"/>
    </xf>
    <xf numFmtId="0" fontId="4" fillId="6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165" fontId="4" fillId="7" borderId="0" xfId="0" applyNumberFormat="1" applyFont="1" applyFill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3" fillId="3" borderId="0" xfId="0" applyFont="1" applyFill="1" applyAlignment="1">
      <alignment horizontal="center" vertical="center" wrapText="1"/>
    </xf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5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3</xdr:row>
      <xdr:rowOff>0</xdr:rowOff>
    </xdr:from>
    <xdr:ext cx="1333500" cy="571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BN23"/>
  <sheetViews>
    <sheetView tabSelected="1" workbookViewId="0">
      <pane xSplit="1" ySplit="3" topLeftCell="B4" activePane="bottomRight" state="frozen"/>
      <selection pane="topRight"/>
      <selection pane="bottomLeft"/>
      <selection pane="bottomRight" activeCell="V15" sqref="V15"/>
    </sheetView>
  </sheetViews>
  <sheetFormatPr defaultRowHeight="14.4" x14ac:dyDescent="0.3"/>
  <cols>
    <col min="2" max="2" width="6" customWidth="1"/>
    <col min="3" max="3" width="15" customWidth="1"/>
    <col min="4" max="4" width="5" customWidth="1"/>
    <col min="5" max="5" width="24" customWidth="1"/>
    <col min="6" max="6" width="13" customWidth="1"/>
    <col min="7" max="7" width="6" customWidth="1"/>
    <col min="8" max="8" width="8" customWidth="1"/>
    <col min="9" max="9" width="18" customWidth="1"/>
    <col min="10" max="10" width="13" customWidth="1"/>
    <col min="11" max="11" width="8" customWidth="1"/>
    <col min="12" max="14" width="10" customWidth="1"/>
    <col min="15" max="15" width="8" customWidth="1"/>
    <col min="16" max="16" width="18" customWidth="1"/>
    <col min="17" max="17" width="24" customWidth="1"/>
    <col min="18" max="19" width="8" customWidth="1"/>
    <col min="20" max="20" width="12" customWidth="1"/>
    <col min="21" max="21" width="8" customWidth="1"/>
    <col min="22" max="22" width="16" customWidth="1"/>
    <col min="23" max="23" width="28" customWidth="1"/>
    <col min="24" max="24" width="13" customWidth="1"/>
    <col min="25" max="25" width="8" customWidth="1"/>
    <col min="26" max="26" width="16" customWidth="1"/>
    <col min="27" max="27" width="13" customWidth="1"/>
    <col min="28" max="28" width="8" customWidth="1"/>
    <col min="29" max="29" width="16" customWidth="1"/>
    <col min="30" max="30" width="13" customWidth="1"/>
    <col min="31" max="31" width="8" customWidth="1"/>
    <col min="32" max="32" width="14" customWidth="1"/>
    <col min="33" max="33" width="8" customWidth="1"/>
    <col min="34" max="34" width="16" customWidth="1"/>
    <col min="35" max="35" width="13" customWidth="1"/>
    <col min="36" max="36" width="8" customWidth="1"/>
    <col min="37" max="37" width="16" customWidth="1"/>
    <col min="38" max="38" width="13" customWidth="1"/>
    <col min="39" max="39" width="8" customWidth="1"/>
    <col min="40" max="40" width="16" customWidth="1"/>
    <col min="41" max="41" width="14" customWidth="1"/>
    <col min="42" max="42" width="13" customWidth="1"/>
    <col min="43" max="43" width="10" customWidth="1"/>
    <col min="44" max="44" width="8" customWidth="1"/>
    <col min="45" max="45" width="12" customWidth="1"/>
    <col min="46" max="46" width="22" customWidth="1"/>
    <col min="47" max="47" width="13" customWidth="1"/>
    <col min="48" max="48" width="8" customWidth="1"/>
    <col min="49" max="49" width="10" customWidth="1"/>
    <col min="50" max="50" width="14" customWidth="1"/>
    <col min="51" max="51" width="10" customWidth="1"/>
    <col min="52" max="53" width="13" customWidth="1"/>
    <col min="54" max="54" width="8" customWidth="1"/>
    <col min="55" max="55" width="16" customWidth="1"/>
    <col min="56" max="56" width="8" customWidth="1"/>
    <col min="57" max="57" width="16" customWidth="1"/>
    <col min="58" max="58" width="13" customWidth="1"/>
    <col min="59" max="59" width="8" customWidth="1"/>
    <col min="60" max="61" width="16" customWidth="1"/>
    <col min="62" max="62" width="8" customWidth="1"/>
    <col min="63" max="63" width="13" customWidth="1"/>
    <col min="64" max="64" width="8" customWidth="1"/>
    <col min="65" max="65" width="24" customWidth="1"/>
    <col min="66" max="66" width="22" customWidth="1"/>
  </cols>
  <sheetData>
    <row r="2" spans="2:66" ht="36" customHeight="1" x14ac:dyDescent="0.3">
      <c r="B2" s="22" t="s">
        <v>0</v>
      </c>
      <c r="C2" s="23"/>
      <c r="D2" s="23"/>
      <c r="E2" s="23"/>
      <c r="F2" s="24" t="s">
        <v>1</v>
      </c>
      <c r="G2" s="23"/>
      <c r="H2" s="23"/>
      <c r="I2" s="23"/>
      <c r="J2" s="22" t="s">
        <v>2</v>
      </c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1" t="s">
        <v>3</v>
      </c>
      <c r="X2" s="22" t="s">
        <v>4</v>
      </c>
      <c r="Y2" s="23"/>
      <c r="Z2" s="23"/>
      <c r="AA2" s="23"/>
      <c r="AB2" s="23"/>
      <c r="AC2" s="23"/>
      <c r="AD2" s="22" t="s">
        <v>5</v>
      </c>
      <c r="AE2" s="23"/>
      <c r="AF2" s="23"/>
      <c r="AG2" s="23"/>
      <c r="AH2" s="23"/>
      <c r="AI2" s="23"/>
      <c r="AJ2" s="23"/>
      <c r="AK2" s="23"/>
      <c r="AL2" s="22" t="s">
        <v>6</v>
      </c>
      <c r="AM2" s="23"/>
      <c r="AN2" s="23"/>
      <c r="AO2" s="23"/>
      <c r="AP2" s="27" t="s">
        <v>7</v>
      </c>
      <c r="AQ2" s="23"/>
      <c r="AR2" s="23"/>
      <c r="AS2" s="23"/>
      <c r="AT2" s="23"/>
      <c r="AU2" s="25" t="s">
        <v>8</v>
      </c>
      <c r="AV2" s="23"/>
      <c r="AW2" s="23"/>
      <c r="AX2" s="23"/>
      <c r="AY2" s="23"/>
      <c r="AZ2" s="23"/>
      <c r="BA2" s="26" t="s">
        <v>9</v>
      </c>
      <c r="BB2" s="23"/>
      <c r="BC2" s="23"/>
      <c r="BD2" s="23"/>
      <c r="BE2" s="23"/>
      <c r="BF2" s="22" t="s">
        <v>10</v>
      </c>
      <c r="BG2" s="23"/>
      <c r="BH2" s="23"/>
      <c r="BI2" s="23"/>
      <c r="BJ2" s="23"/>
      <c r="BK2" s="22" t="s">
        <v>11</v>
      </c>
      <c r="BL2" s="23"/>
      <c r="BM2" s="23"/>
      <c r="BN2" s="23"/>
    </row>
    <row r="3" spans="2:66" ht="52.05" customHeight="1" x14ac:dyDescent="0.3">
      <c r="B3" s="1" t="s">
        <v>12</v>
      </c>
      <c r="C3" s="1" t="s">
        <v>13</v>
      </c>
      <c r="D3" s="1" t="s">
        <v>14</v>
      </c>
      <c r="E3" s="1" t="s">
        <v>15</v>
      </c>
      <c r="F3" s="2" t="s">
        <v>16</v>
      </c>
      <c r="G3" s="2" t="s">
        <v>17</v>
      </c>
      <c r="H3" s="2" t="s">
        <v>18</v>
      </c>
      <c r="I3" s="2" t="s">
        <v>19</v>
      </c>
      <c r="J3" s="1" t="s">
        <v>20</v>
      </c>
      <c r="K3" s="1" t="s">
        <v>21</v>
      </c>
      <c r="L3" s="1" t="s">
        <v>22</v>
      </c>
      <c r="M3" s="1" t="s">
        <v>23</v>
      </c>
      <c r="N3" s="1" t="s">
        <v>24</v>
      </c>
      <c r="O3" s="1" t="s">
        <v>25</v>
      </c>
      <c r="P3" s="1" t="s">
        <v>26</v>
      </c>
      <c r="Q3" s="1" t="s">
        <v>27</v>
      </c>
      <c r="R3" s="1" t="s">
        <v>28</v>
      </c>
      <c r="S3" s="1" t="s">
        <v>29</v>
      </c>
      <c r="T3" s="1" t="s">
        <v>30</v>
      </c>
      <c r="U3" s="1" t="s">
        <v>31</v>
      </c>
      <c r="V3" s="1" t="s">
        <v>32</v>
      </c>
      <c r="W3" s="1" t="s">
        <v>33</v>
      </c>
      <c r="X3" s="1" t="s">
        <v>34</v>
      </c>
      <c r="Y3" s="1" t="s">
        <v>35</v>
      </c>
      <c r="Z3" s="1" t="s">
        <v>36</v>
      </c>
      <c r="AA3" s="1" t="s">
        <v>37</v>
      </c>
      <c r="AB3" s="1" t="s">
        <v>31</v>
      </c>
      <c r="AC3" s="1" t="s">
        <v>36</v>
      </c>
      <c r="AD3" s="1" t="s">
        <v>38</v>
      </c>
      <c r="AE3" s="1" t="s">
        <v>31</v>
      </c>
      <c r="AF3" s="1" t="s">
        <v>39</v>
      </c>
      <c r="AG3" s="1" t="s">
        <v>40</v>
      </c>
      <c r="AH3" s="1" t="s">
        <v>36</v>
      </c>
      <c r="AI3" s="1" t="s">
        <v>41</v>
      </c>
      <c r="AJ3" s="1" t="s">
        <v>31</v>
      </c>
      <c r="AK3" s="1" t="s">
        <v>36</v>
      </c>
      <c r="AL3" s="1" t="s">
        <v>42</v>
      </c>
      <c r="AM3" s="1" t="s">
        <v>43</v>
      </c>
      <c r="AN3" s="1" t="s">
        <v>44</v>
      </c>
      <c r="AO3" s="1" t="s">
        <v>45</v>
      </c>
      <c r="AP3" s="3" t="s">
        <v>16</v>
      </c>
      <c r="AQ3" s="3" t="s">
        <v>46</v>
      </c>
      <c r="AR3" s="3" t="s">
        <v>47</v>
      </c>
      <c r="AS3" s="3" t="s">
        <v>48</v>
      </c>
      <c r="AT3" s="3" t="s">
        <v>49</v>
      </c>
      <c r="AU3" s="4" t="s">
        <v>16</v>
      </c>
      <c r="AV3" s="4" t="s">
        <v>35</v>
      </c>
      <c r="AW3" s="4" t="s">
        <v>50</v>
      </c>
      <c r="AX3" s="4" t="s">
        <v>51</v>
      </c>
      <c r="AY3" s="4" t="s">
        <v>52</v>
      </c>
      <c r="AZ3" s="4" t="s">
        <v>53</v>
      </c>
      <c r="BA3" s="5" t="s">
        <v>54</v>
      </c>
      <c r="BB3" s="5" t="s">
        <v>35</v>
      </c>
      <c r="BC3" s="5" t="s">
        <v>36</v>
      </c>
      <c r="BD3" s="5" t="s">
        <v>31</v>
      </c>
      <c r="BE3" s="5" t="s">
        <v>55</v>
      </c>
      <c r="BF3" s="1" t="s">
        <v>16</v>
      </c>
      <c r="BG3" s="1" t="s">
        <v>31</v>
      </c>
      <c r="BH3" s="1" t="s">
        <v>36</v>
      </c>
      <c r="BI3" s="1" t="s">
        <v>56</v>
      </c>
      <c r="BJ3" s="1" t="s">
        <v>57</v>
      </c>
      <c r="BK3" s="1" t="s">
        <v>16</v>
      </c>
      <c r="BL3" s="1" t="s">
        <v>35</v>
      </c>
      <c r="BM3" s="1" t="s">
        <v>58</v>
      </c>
      <c r="BN3" s="1" t="s">
        <v>59</v>
      </c>
    </row>
    <row r="4" spans="2:66" x14ac:dyDescent="0.3">
      <c r="B4" s="6">
        <v>6</v>
      </c>
      <c r="C4" s="6" t="s">
        <v>60</v>
      </c>
      <c r="D4" s="6">
        <f t="shared" ref="D4:D23" si="0">IF(C4="","",1)</f>
        <v>1</v>
      </c>
      <c r="E4" s="6" t="str">
        <f>IFERROR(VLOOKUP($C4,Справочник!$B$2:$F$13,3),"")</f>
        <v>ИП YYY</v>
      </c>
      <c r="F4" s="7">
        <v>44975</v>
      </c>
      <c r="G4" s="6" t="str">
        <f t="shared" ref="G4:G23" si="1">IF(AND(C4&gt;0,J4="",AR4=""),1,"")</f>
        <v/>
      </c>
      <c r="I4" s="6" t="str">
        <f>IF(AND(F4&gt;0,J4="",AR4=""),IFERROR(VLOOKUP($C4,Справочник!$B$2:$F$13,2),""),"")</f>
        <v/>
      </c>
      <c r="J4" s="7">
        <v>44984</v>
      </c>
      <c r="K4" s="6">
        <v>6</v>
      </c>
      <c r="O4" s="6">
        <f t="shared" ref="O4:O23" si="2">IF(J4="","",D4)</f>
        <v>1</v>
      </c>
      <c r="P4" s="6" t="str">
        <f>IF(J4&gt;0,IFERROR(VLOOKUP($C4,Справочник!$B$2:$F$13,2),""),"")</f>
        <v>ДГ-003/2023</v>
      </c>
      <c r="Q4" s="6" t="str">
        <f t="shared" ref="Q4:Q23" si="3">IF(J4&gt;0,E4,"")</f>
        <v>ИП YYY</v>
      </c>
      <c r="R4" s="6" t="s">
        <v>61</v>
      </c>
      <c r="S4" s="8">
        <v>1</v>
      </c>
      <c r="T4" s="9" t="s">
        <v>62</v>
      </c>
      <c r="V4" s="6" t="str">
        <f>IFERROR(VLOOKUP($C4,Справочник!$B$2:$F$13,4),"")</f>
        <v>772011223344</v>
      </c>
      <c r="W4" s="10" t="s">
        <v>63</v>
      </c>
      <c r="X4" s="7">
        <v>44987</v>
      </c>
      <c r="Y4" s="6">
        <f t="shared" ref="Y4:Y23" si="4">IF(X4="","",O4)</f>
        <v>1</v>
      </c>
      <c r="Z4" s="6" t="str">
        <f t="shared" ref="Z4:Z23" si="5">IF(X4&gt;0,E4,"")</f>
        <v>ИП YYY</v>
      </c>
      <c r="AA4" s="7">
        <v>44987</v>
      </c>
      <c r="AB4" s="6" t="str">
        <f t="shared" ref="AB4:AB23" si="6">IF(AND(AA4&gt;0,AD4="",AR4=""),Y4,"")</f>
        <v/>
      </c>
      <c r="AC4" s="6" t="str">
        <f t="shared" ref="AC4:AC23" si="7">IF(AND(AA4&gt;0,AD4="",AR4=""),Z4,"")</f>
        <v/>
      </c>
      <c r="AD4" s="7">
        <v>44988</v>
      </c>
      <c r="AE4" s="6">
        <f t="shared" ref="AE4:AE23" si="8">IF(AD4="","",Y4)</f>
        <v>1</v>
      </c>
      <c r="AF4" s="6" t="s">
        <v>64</v>
      </c>
      <c r="AG4" s="6" t="str">
        <f t="shared" ref="AG4:AG23" si="9">IF(AND(AD4&gt;0,AI4="",AR4=""),Y4,"")</f>
        <v/>
      </c>
      <c r="AH4" s="6" t="str">
        <f t="shared" ref="AH4:AH23" si="10">IF(AND(AD4&gt;0,AI4="",AR4=""),Z4,"")</f>
        <v/>
      </c>
      <c r="AI4" s="7">
        <v>44989</v>
      </c>
      <c r="AJ4" s="6" t="str">
        <f t="shared" ref="AJ4:AJ23" si="11">IF(AND(AI4&gt;0,AL4="",AR4=""),Y4,"")</f>
        <v/>
      </c>
      <c r="AK4" s="6" t="str">
        <f t="shared" ref="AK4:AK23" si="12">IF(AND(AI4&gt;0,AL4="",AR4=""),Z4,"")</f>
        <v/>
      </c>
      <c r="AM4" s="6" t="str">
        <f t="shared" ref="AM4:AM23" si="13">IF(AND(AL4&gt;0,AR4="",AU4=""),D4,"")</f>
        <v/>
      </c>
      <c r="AN4" s="6" t="str">
        <f t="shared" ref="AN4:AN23" si="14">IF(AND(AL4&gt;0,AP4="",AR4=""),Z4,"")</f>
        <v/>
      </c>
      <c r="AP4" s="11">
        <v>45253</v>
      </c>
      <c r="AQ4" s="12">
        <v>118</v>
      </c>
      <c r="AR4" s="12">
        <v>1</v>
      </c>
      <c r="AS4" s="13">
        <v>2170</v>
      </c>
      <c r="AT4" s="14" t="s">
        <v>65</v>
      </c>
      <c r="AU4" s="15">
        <v>45314</v>
      </c>
      <c r="AV4" s="16">
        <f t="shared" ref="AV4:AV23" si="15">IF(AU4="","",D4)</f>
        <v>1</v>
      </c>
      <c r="AW4" s="16" t="s">
        <v>66</v>
      </c>
      <c r="AX4" s="17">
        <v>2170</v>
      </c>
      <c r="AY4" s="16">
        <f t="shared" ref="AY4:AY23" si="16">IF(AU4&gt;0,AX4,"")</f>
        <v>2170</v>
      </c>
      <c r="AZ4" s="15">
        <f t="shared" ref="AZ4:AZ23" si="17">IF(AU4&gt;0,AU4,"")</f>
        <v>45314</v>
      </c>
      <c r="BA4" s="18">
        <v>45327</v>
      </c>
      <c r="BB4" s="19">
        <f t="shared" ref="BB4:BB23" si="18">IF(BA4="","",O4)</f>
        <v>1</v>
      </c>
      <c r="BC4" s="19" t="str">
        <f t="shared" ref="BC4:BC23" si="19">IF(BA4&gt;0,E4,"")</f>
        <v>ИП YYY</v>
      </c>
      <c r="BD4" s="19" t="str">
        <f t="shared" ref="BD4:BD23" si="20">IF(AND(BA4&gt;0,BF4="",AR4=""),BB4,"")</f>
        <v/>
      </c>
      <c r="BE4" s="19" t="str">
        <f t="shared" ref="BE4:BE23" si="21">IF(BD4="","",E4)</f>
        <v/>
      </c>
      <c r="BG4" s="6" t="str">
        <f t="shared" ref="BG4:BG23" si="22">IF(AND(BF4&gt;0,BK4="",AR4=""),BB4,"")</f>
        <v/>
      </c>
      <c r="BH4" s="6" t="str">
        <f t="shared" ref="BH4:BH23" si="23">IF(BG4="","",E4)</f>
        <v/>
      </c>
      <c r="BK4" s="7">
        <v>45352</v>
      </c>
      <c r="BL4" s="6">
        <f t="shared" ref="BL4:BL23" si="24">IF(BK4="","",D4)</f>
        <v>1</v>
      </c>
      <c r="BM4" s="6" t="str">
        <f t="shared" ref="BM4:BM23" si="25">IF(BK4&gt;0,Q4,"")</f>
        <v>ИП YYY</v>
      </c>
      <c r="BN4" s="9" t="s">
        <v>67</v>
      </c>
    </row>
    <row r="5" spans="2:66" x14ac:dyDescent="0.3">
      <c r="B5" s="6">
        <v>7</v>
      </c>
      <c r="C5" s="6" t="s">
        <v>60</v>
      </c>
      <c r="D5" s="6">
        <f t="shared" si="0"/>
        <v>1</v>
      </c>
      <c r="E5" s="6" t="str">
        <f>IFERROR(VLOOKUP($C5,Справочник!$B$2:$F$13,3),"")</f>
        <v>ИП YYY</v>
      </c>
      <c r="F5" s="7">
        <v>44975</v>
      </c>
      <c r="G5" s="6" t="str">
        <f t="shared" si="1"/>
        <v/>
      </c>
      <c r="I5" s="6" t="str">
        <f>IF(AND(F5&gt;0,J5="",AR5=""),IFERROR(VLOOKUP($C5,Справочник!$B$2:$F$13,2),""),"")</f>
        <v/>
      </c>
      <c r="J5" s="7">
        <v>44984</v>
      </c>
      <c r="K5" s="6">
        <v>7</v>
      </c>
      <c r="O5" s="6">
        <f t="shared" si="2"/>
        <v>1</v>
      </c>
      <c r="P5" s="6" t="str">
        <f>IF(J5&gt;0,IFERROR(VLOOKUP($C5,Справочник!$B$2:$F$13,2),""),"")</f>
        <v>ДГ-003/2023</v>
      </c>
      <c r="Q5" s="6" t="str">
        <f t="shared" si="3"/>
        <v>ИП YYY</v>
      </c>
      <c r="R5" s="6" t="s">
        <v>61</v>
      </c>
      <c r="S5" s="8">
        <v>1</v>
      </c>
      <c r="T5" s="9" t="s">
        <v>62</v>
      </c>
      <c r="V5" s="6" t="str">
        <f>IFERROR(VLOOKUP($C5,Справочник!$B$2:$F$13,4),"")</f>
        <v>772011223344</v>
      </c>
      <c r="W5" s="10" t="s">
        <v>68</v>
      </c>
      <c r="X5" s="7">
        <v>44987</v>
      </c>
      <c r="Y5" s="6">
        <f t="shared" si="4"/>
        <v>1</v>
      </c>
      <c r="Z5" s="6" t="str">
        <f t="shared" si="5"/>
        <v>ИП YYY</v>
      </c>
      <c r="AA5" s="7">
        <v>44987</v>
      </c>
      <c r="AB5" s="6" t="str">
        <f t="shared" si="6"/>
        <v/>
      </c>
      <c r="AC5" s="6" t="str">
        <f t="shared" si="7"/>
        <v/>
      </c>
      <c r="AD5" s="7">
        <v>44988</v>
      </c>
      <c r="AE5" s="6">
        <f t="shared" si="8"/>
        <v>1</v>
      </c>
      <c r="AF5" s="6" t="s">
        <v>64</v>
      </c>
      <c r="AG5" s="6" t="str">
        <f t="shared" si="9"/>
        <v/>
      </c>
      <c r="AH5" s="6" t="str">
        <f t="shared" si="10"/>
        <v/>
      </c>
      <c r="AI5" s="7">
        <v>44989</v>
      </c>
      <c r="AJ5" s="6" t="str">
        <f t="shared" si="11"/>
        <v/>
      </c>
      <c r="AK5" s="6" t="str">
        <f t="shared" si="12"/>
        <v/>
      </c>
      <c r="AM5" s="6" t="str">
        <f t="shared" si="13"/>
        <v/>
      </c>
      <c r="AN5" s="6" t="str">
        <f t="shared" si="14"/>
        <v/>
      </c>
      <c r="AP5" s="11">
        <v>45253</v>
      </c>
      <c r="AQ5" s="12">
        <v>119</v>
      </c>
      <c r="AR5" s="12">
        <v>1</v>
      </c>
      <c r="AS5" s="13">
        <v>2190</v>
      </c>
      <c r="AT5" s="14" t="s">
        <v>65</v>
      </c>
      <c r="AU5" s="15">
        <v>45314</v>
      </c>
      <c r="AV5" s="16">
        <f t="shared" si="15"/>
        <v>1</v>
      </c>
      <c r="AW5" s="16" t="s">
        <v>66</v>
      </c>
      <c r="AX5" s="17">
        <v>2190</v>
      </c>
      <c r="AY5" s="16">
        <f t="shared" si="16"/>
        <v>2190</v>
      </c>
      <c r="AZ5" s="15">
        <f t="shared" si="17"/>
        <v>45314</v>
      </c>
      <c r="BA5" s="18">
        <v>45327</v>
      </c>
      <c r="BB5" s="19">
        <f t="shared" si="18"/>
        <v>1</v>
      </c>
      <c r="BC5" s="19" t="str">
        <f t="shared" si="19"/>
        <v>ИП YYY</v>
      </c>
      <c r="BD5" s="19" t="str">
        <f t="shared" si="20"/>
        <v/>
      </c>
      <c r="BE5" s="19" t="str">
        <f t="shared" si="21"/>
        <v/>
      </c>
      <c r="BG5" s="6" t="str">
        <f t="shared" si="22"/>
        <v/>
      </c>
      <c r="BH5" s="6" t="str">
        <f t="shared" si="23"/>
        <v/>
      </c>
      <c r="BK5" s="7">
        <v>45352</v>
      </c>
      <c r="BL5" s="6">
        <f t="shared" si="24"/>
        <v>1</v>
      </c>
      <c r="BM5" s="6" t="str">
        <f t="shared" si="25"/>
        <v>ИП YYY</v>
      </c>
      <c r="BN5" s="9" t="s">
        <v>67</v>
      </c>
    </row>
    <row r="6" spans="2:66" x14ac:dyDescent="0.3">
      <c r="B6" s="6">
        <v>13</v>
      </c>
      <c r="C6" s="6" t="s">
        <v>69</v>
      </c>
      <c r="D6" s="6">
        <f t="shared" si="0"/>
        <v>1</v>
      </c>
      <c r="E6" s="6" t="str">
        <f>IFERROR(VLOOKUP($C6,Справочник!$B$2:$F$13,3),"")</f>
        <v>ИП YYY</v>
      </c>
      <c r="F6" s="7">
        <v>44982</v>
      </c>
      <c r="G6" s="6" t="str">
        <f t="shared" si="1"/>
        <v/>
      </c>
      <c r="I6" s="6" t="str">
        <f>IF(AND(F6&gt;0,J6="",AR6=""),IFERROR(VLOOKUP($C6,Справочник!$B$2:$F$13,2),""),"")</f>
        <v/>
      </c>
      <c r="J6" s="7">
        <v>44990</v>
      </c>
      <c r="K6" s="6">
        <v>13</v>
      </c>
      <c r="O6" s="6">
        <f t="shared" si="2"/>
        <v>1</v>
      </c>
      <c r="P6" s="6" t="str">
        <f>IF(J6&gt;0,IFERROR(VLOOKUP($C6,Справочник!$B$2:$F$13,2),""),"")</f>
        <v>ДГ-003/2023</v>
      </c>
      <c r="Q6" s="6" t="str">
        <f t="shared" si="3"/>
        <v>ИП YYY</v>
      </c>
      <c r="R6" s="6" t="s">
        <v>61</v>
      </c>
      <c r="S6" s="8">
        <v>1</v>
      </c>
      <c r="T6" s="9" t="s">
        <v>62</v>
      </c>
      <c r="V6" s="6" t="str">
        <f>IFERROR(VLOOKUP($C6,Справочник!$B$2:$F$13,4),"")</f>
        <v>772011223344</v>
      </c>
      <c r="W6" s="10" t="s">
        <v>70</v>
      </c>
      <c r="X6" s="7">
        <v>44992</v>
      </c>
      <c r="Y6" s="6">
        <f t="shared" si="4"/>
        <v>1</v>
      </c>
      <c r="Z6" s="6" t="str">
        <f t="shared" si="5"/>
        <v>ИП YYY</v>
      </c>
      <c r="AA6" s="7">
        <v>44992</v>
      </c>
      <c r="AB6" s="6" t="str">
        <f t="shared" si="6"/>
        <v/>
      </c>
      <c r="AC6" s="6" t="str">
        <f t="shared" si="7"/>
        <v/>
      </c>
      <c r="AD6" s="7">
        <v>44993</v>
      </c>
      <c r="AE6" s="6">
        <f t="shared" si="8"/>
        <v>1</v>
      </c>
      <c r="AF6" s="6" t="s">
        <v>64</v>
      </c>
      <c r="AG6" s="6" t="str">
        <f t="shared" si="9"/>
        <v/>
      </c>
      <c r="AH6" s="6" t="str">
        <f t="shared" si="10"/>
        <v/>
      </c>
      <c r="AI6" s="7">
        <v>44995</v>
      </c>
      <c r="AJ6" s="6" t="str">
        <f t="shared" si="11"/>
        <v/>
      </c>
      <c r="AK6" s="6" t="str">
        <f t="shared" si="12"/>
        <v/>
      </c>
      <c r="AM6" s="6" t="str">
        <f t="shared" si="13"/>
        <v/>
      </c>
      <c r="AN6" s="6" t="str">
        <f t="shared" si="14"/>
        <v/>
      </c>
      <c r="AP6" s="11">
        <v>45275</v>
      </c>
      <c r="AQ6" s="12">
        <v>95</v>
      </c>
      <c r="AR6" s="12">
        <v>1</v>
      </c>
      <c r="AS6" s="13">
        <v>450</v>
      </c>
      <c r="AT6" s="14" t="s">
        <v>65</v>
      </c>
      <c r="AU6" s="15">
        <v>45352</v>
      </c>
      <c r="AV6" s="16">
        <f t="shared" si="15"/>
        <v>1</v>
      </c>
      <c r="AW6" s="16" t="s">
        <v>66</v>
      </c>
      <c r="AX6" s="17">
        <v>450</v>
      </c>
      <c r="AY6" s="16">
        <f t="shared" si="16"/>
        <v>450</v>
      </c>
      <c r="AZ6" s="15">
        <f t="shared" si="17"/>
        <v>45352</v>
      </c>
      <c r="BB6" s="19" t="str">
        <f t="shared" si="18"/>
        <v/>
      </c>
      <c r="BC6" s="19" t="str">
        <f t="shared" si="19"/>
        <v/>
      </c>
      <c r="BD6" s="19" t="str">
        <f t="shared" si="20"/>
        <v/>
      </c>
      <c r="BE6" s="19" t="str">
        <f t="shared" si="21"/>
        <v/>
      </c>
      <c r="BG6" s="6" t="str">
        <f t="shared" si="22"/>
        <v/>
      </c>
      <c r="BH6" s="6" t="str">
        <f t="shared" si="23"/>
        <v/>
      </c>
      <c r="BK6" s="7">
        <v>45392</v>
      </c>
      <c r="BL6" s="6">
        <f t="shared" si="24"/>
        <v>1</v>
      </c>
      <c r="BM6" s="6" t="str">
        <f t="shared" si="25"/>
        <v>ИП YYY</v>
      </c>
      <c r="BN6" s="9" t="s">
        <v>67</v>
      </c>
    </row>
    <row r="7" spans="2:66" x14ac:dyDescent="0.3">
      <c r="B7" s="6">
        <v>21</v>
      </c>
      <c r="C7" s="6" t="s">
        <v>71</v>
      </c>
      <c r="D7" s="6">
        <f t="shared" si="0"/>
        <v>1</v>
      </c>
      <c r="E7" s="6" t="str">
        <f>IFERROR(VLOOKUP($C7,Справочник!$B$2:$F$13,3),"")</f>
        <v>АО «NNN»</v>
      </c>
      <c r="F7" s="7">
        <v>44986</v>
      </c>
      <c r="G7" s="6" t="str">
        <f t="shared" si="1"/>
        <v/>
      </c>
      <c r="I7" s="6" t="str">
        <f>IF(AND(F7&gt;0,J7="",AR7=""),IFERROR(VLOOKUP($C7,Справочник!$B$2:$F$13,2),""),"")</f>
        <v/>
      </c>
      <c r="J7" s="7">
        <v>45005</v>
      </c>
      <c r="K7" s="6">
        <v>21</v>
      </c>
      <c r="O7" s="6">
        <f t="shared" si="2"/>
        <v>1</v>
      </c>
      <c r="P7" s="6" t="str">
        <f>IF(J7&gt;0,IFERROR(VLOOKUP($C7,Справочник!$B$2:$F$13,2),""),"")</f>
        <v>ДГ-012/2023</v>
      </c>
      <c r="Q7" s="6" t="str">
        <f t="shared" si="3"/>
        <v>АО «NNN»</v>
      </c>
      <c r="R7" s="6" t="s">
        <v>72</v>
      </c>
      <c r="S7" s="8">
        <v>1</v>
      </c>
      <c r="T7" s="9" t="s">
        <v>73</v>
      </c>
      <c r="V7" s="6" t="str">
        <f>IFERROR(VLOOKUP($C7,Справочник!$B$2:$F$13,4),"")</f>
        <v>7724567890</v>
      </c>
      <c r="W7" s="10" t="s">
        <v>74</v>
      </c>
      <c r="X7" s="7">
        <v>45007</v>
      </c>
      <c r="Y7" s="6">
        <f t="shared" si="4"/>
        <v>1</v>
      </c>
      <c r="Z7" s="6" t="str">
        <f t="shared" si="5"/>
        <v>АО «NNN»</v>
      </c>
      <c r="AA7" s="7">
        <v>45007</v>
      </c>
      <c r="AB7" s="6" t="str">
        <f t="shared" si="6"/>
        <v/>
      </c>
      <c r="AC7" s="6" t="str">
        <f t="shared" si="7"/>
        <v/>
      </c>
      <c r="AD7" s="7">
        <v>45008</v>
      </c>
      <c r="AE7" s="6">
        <f t="shared" si="8"/>
        <v>1</v>
      </c>
      <c r="AF7" s="6" t="s">
        <v>75</v>
      </c>
      <c r="AG7" s="6" t="str">
        <f t="shared" si="9"/>
        <v/>
      </c>
      <c r="AH7" s="6" t="str">
        <f t="shared" si="10"/>
        <v/>
      </c>
      <c r="AI7" s="7">
        <v>45010</v>
      </c>
      <c r="AJ7" s="6" t="str">
        <f t="shared" si="11"/>
        <v/>
      </c>
      <c r="AK7" s="6" t="str">
        <f t="shared" si="12"/>
        <v/>
      </c>
      <c r="AM7" s="6" t="str">
        <f t="shared" si="13"/>
        <v/>
      </c>
      <c r="AN7" s="6" t="str">
        <f t="shared" si="14"/>
        <v/>
      </c>
      <c r="AP7" s="11">
        <v>45280</v>
      </c>
      <c r="AQ7" s="12">
        <v>102</v>
      </c>
      <c r="AR7" s="12">
        <v>1</v>
      </c>
      <c r="AS7" s="13">
        <v>3800</v>
      </c>
      <c r="AT7" s="14" t="s">
        <v>76</v>
      </c>
      <c r="AU7" s="15">
        <v>45306</v>
      </c>
      <c r="AV7" s="16">
        <f t="shared" si="15"/>
        <v>1</v>
      </c>
      <c r="AW7" s="16" t="s">
        <v>66</v>
      </c>
      <c r="AX7" s="17">
        <v>3800</v>
      </c>
      <c r="AY7" s="16">
        <f t="shared" si="16"/>
        <v>3800</v>
      </c>
      <c r="AZ7" s="15">
        <f t="shared" si="17"/>
        <v>45306</v>
      </c>
      <c r="BA7" s="18">
        <v>45323</v>
      </c>
      <c r="BB7" s="19">
        <f t="shared" si="18"/>
        <v>1</v>
      </c>
      <c r="BC7" s="19" t="str">
        <f t="shared" si="19"/>
        <v>АО «NNN»</v>
      </c>
      <c r="BD7" s="19" t="str">
        <f t="shared" si="20"/>
        <v/>
      </c>
      <c r="BE7" s="19" t="str">
        <f t="shared" si="21"/>
        <v/>
      </c>
      <c r="BG7" s="6" t="str">
        <f t="shared" si="22"/>
        <v/>
      </c>
      <c r="BH7" s="6" t="str">
        <f t="shared" si="23"/>
        <v/>
      </c>
      <c r="BL7" s="6" t="str">
        <f t="shared" si="24"/>
        <v/>
      </c>
      <c r="BM7" s="6" t="str">
        <f t="shared" si="25"/>
        <v/>
      </c>
    </row>
    <row r="8" spans="2:66" x14ac:dyDescent="0.3">
      <c r="B8" s="6">
        <v>23</v>
      </c>
      <c r="C8" s="6" t="s">
        <v>77</v>
      </c>
      <c r="D8" s="6">
        <f t="shared" si="0"/>
        <v>1</v>
      </c>
      <c r="E8" s="6" t="str">
        <f>IFERROR(VLOOKUP($C8,Справочник!$B$2:$F$13,3),"")</f>
        <v>ООО «DDD»</v>
      </c>
      <c r="F8" s="7">
        <v>44990</v>
      </c>
      <c r="G8" s="6" t="str">
        <f t="shared" si="1"/>
        <v/>
      </c>
      <c r="I8" s="6" t="str">
        <f>IF(AND(F8&gt;0,J8="",AR8=""),IFERROR(VLOOKUP($C8,Справочник!$B$2:$F$13,2),""),"")</f>
        <v/>
      </c>
      <c r="J8" s="7">
        <v>45010</v>
      </c>
      <c r="K8" s="6">
        <v>23</v>
      </c>
      <c r="O8" s="6">
        <f t="shared" si="2"/>
        <v>1</v>
      </c>
      <c r="P8" s="6" t="str">
        <f>IF(J8&gt;0,IFERROR(VLOOKUP($C8,Справочник!$B$2:$F$13,2),""),"")</f>
        <v>ДГ-006/2023</v>
      </c>
      <c r="Q8" s="6" t="str">
        <f t="shared" si="3"/>
        <v>ООО «DDD»</v>
      </c>
      <c r="R8" s="6" t="s">
        <v>72</v>
      </c>
      <c r="S8" s="8">
        <v>1</v>
      </c>
      <c r="T8" s="9" t="s">
        <v>78</v>
      </c>
      <c r="V8" s="6" t="str">
        <f>IFERROR(VLOOKUP($C8,Справочник!$B$2:$F$13,4),"")</f>
        <v>7706543217</v>
      </c>
      <c r="W8" s="10" t="s">
        <v>79</v>
      </c>
      <c r="X8" s="7">
        <v>45012</v>
      </c>
      <c r="Y8" s="6">
        <f t="shared" si="4"/>
        <v>1</v>
      </c>
      <c r="Z8" s="6" t="str">
        <f t="shared" si="5"/>
        <v>ООО «DDD»</v>
      </c>
      <c r="AA8" s="7">
        <v>45012</v>
      </c>
      <c r="AB8" s="6" t="str">
        <f t="shared" si="6"/>
        <v/>
      </c>
      <c r="AC8" s="6" t="str">
        <f t="shared" si="7"/>
        <v/>
      </c>
      <c r="AD8" s="7">
        <v>45013</v>
      </c>
      <c r="AE8" s="6">
        <f t="shared" si="8"/>
        <v>1</v>
      </c>
      <c r="AF8" s="6" t="s">
        <v>75</v>
      </c>
      <c r="AG8" s="6" t="str">
        <f t="shared" si="9"/>
        <v/>
      </c>
      <c r="AH8" s="6" t="str">
        <f t="shared" si="10"/>
        <v/>
      </c>
      <c r="AI8" s="7">
        <v>45015</v>
      </c>
      <c r="AJ8" s="6" t="str">
        <f t="shared" si="11"/>
        <v/>
      </c>
      <c r="AK8" s="6" t="str">
        <f t="shared" si="12"/>
        <v/>
      </c>
      <c r="AM8" s="6" t="str">
        <f t="shared" si="13"/>
        <v/>
      </c>
      <c r="AN8" s="6" t="str">
        <f t="shared" si="14"/>
        <v/>
      </c>
      <c r="AP8" s="11">
        <v>45301</v>
      </c>
      <c r="AQ8" s="12">
        <v>77</v>
      </c>
      <c r="AR8" s="12">
        <v>1</v>
      </c>
      <c r="AS8" s="13">
        <v>2700</v>
      </c>
      <c r="AT8" s="14" t="s">
        <v>65</v>
      </c>
      <c r="AU8" s="15">
        <v>45332</v>
      </c>
      <c r="AV8" s="16">
        <f t="shared" si="15"/>
        <v>1</v>
      </c>
      <c r="AW8" s="16" t="s">
        <v>66</v>
      </c>
      <c r="AX8" s="17">
        <v>2700</v>
      </c>
      <c r="AY8" s="16">
        <f t="shared" si="16"/>
        <v>2700</v>
      </c>
      <c r="AZ8" s="15">
        <f t="shared" si="17"/>
        <v>45332</v>
      </c>
      <c r="BA8" s="18">
        <v>45352</v>
      </c>
      <c r="BB8" s="19">
        <f t="shared" si="18"/>
        <v>1</v>
      </c>
      <c r="BC8" s="19" t="str">
        <f t="shared" si="19"/>
        <v>ООО «DDD»</v>
      </c>
      <c r="BD8" s="19" t="str">
        <f t="shared" si="20"/>
        <v/>
      </c>
      <c r="BE8" s="19" t="str">
        <f t="shared" si="21"/>
        <v/>
      </c>
      <c r="BG8" s="6" t="str">
        <f t="shared" si="22"/>
        <v/>
      </c>
      <c r="BH8" s="6" t="str">
        <f t="shared" si="23"/>
        <v/>
      </c>
      <c r="BL8" s="6" t="str">
        <f t="shared" si="24"/>
        <v/>
      </c>
      <c r="BM8" s="6" t="str">
        <f t="shared" si="25"/>
        <v/>
      </c>
    </row>
    <row r="9" spans="2:66" x14ac:dyDescent="0.3">
      <c r="B9" s="6">
        <v>28</v>
      </c>
      <c r="C9" s="6" t="s">
        <v>80</v>
      </c>
      <c r="D9" s="6">
        <f t="shared" si="0"/>
        <v>1</v>
      </c>
      <c r="E9" s="6" t="str">
        <f>IFERROR(VLOOKUP($C9,Справочник!$B$2:$F$13,3),"")</f>
        <v>ИП YYY</v>
      </c>
      <c r="F9" s="7">
        <v>44995</v>
      </c>
      <c r="G9" s="6" t="str">
        <f t="shared" si="1"/>
        <v/>
      </c>
      <c r="I9" s="6" t="str">
        <f>IF(AND(F9&gt;0,J9="",AR9=""),IFERROR(VLOOKUP($C9,Справочник!$B$2:$F$13,2),""),"")</f>
        <v/>
      </c>
      <c r="J9" s="7">
        <v>45021</v>
      </c>
      <c r="K9" s="6">
        <v>28</v>
      </c>
      <c r="O9" s="6">
        <f t="shared" si="2"/>
        <v>1</v>
      </c>
      <c r="P9" s="6" t="str">
        <f>IF(J9&gt;0,IFERROR(VLOOKUP($C9,Справочник!$B$2:$F$13,2),""),"")</f>
        <v>ДГ-003/2023</v>
      </c>
      <c r="Q9" s="6" t="str">
        <f t="shared" si="3"/>
        <v>ИП YYY</v>
      </c>
      <c r="R9" s="6" t="s">
        <v>72</v>
      </c>
      <c r="S9" s="8">
        <v>1</v>
      </c>
      <c r="T9" s="9" t="s">
        <v>73</v>
      </c>
      <c r="V9" s="6" t="str">
        <f>IFERROR(VLOOKUP($C9,Справочник!$B$2:$F$13,4),"")</f>
        <v>772011223344</v>
      </c>
      <c r="W9" s="10" t="s">
        <v>81</v>
      </c>
      <c r="X9" s="7">
        <v>45023</v>
      </c>
      <c r="Y9" s="6">
        <f t="shared" si="4"/>
        <v>1</v>
      </c>
      <c r="Z9" s="6" t="str">
        <f t="shared" si="5"/>
        <v>ИП YYY</v>
      </c>
      <c r="AA9" s="7">
        <v>45023</v>
      </c>
      <c r="AB9" s="6" t="str">
        <f t="shared" si="6"/>
        <v/>
      </c>
      <c r="AC9" s="6" t="str">
        <f t="shared" si="7"/>
        <v/>
      </c>
      <c r="AD9" s="7">
        <v>45024</v>
      </c>
      <c r="AE9" s="6">
        <f t="shared" si="8"/>
        <v>1</v>
      </c>
      <c r="AF9" s="6" t="s">
        <v>75</v>
      </c>
      <c r="AG9" s="6" t="str">
        <f t="shared" si="9"/>
        <v/>
      </c>
      <c r="AH9" s="6" t="str">
        <f t="shared" si="10"/>
        <v/>
      </c>
      <c r="AI9" s="7">
        <v>45026</v>
      </c>
      <c r="AJ9" s="6" t="str">
        <f t="shared" si="11"/>
        <v/>
      </c>
      <c r="AK9" s="6" t="str">
        <f t="shared" si="12"/>
        <v/>
      </c>
      <c r="AM9" s="6" t="str">
        <f t="shared" si="13"/>
        <v/>
      </c>
      <c r="AN9" s="6" t="str">
        <f t="shared" si="14"/>
        <v/>
      </c>
      <c r="AP9" s="11">
        <v>45323</v>
      </c>
      <c r="AQ9" s="12">
        <v>88</v>
      </c>
      <c r="AR9" s="12">
        <v>1</v>
      </c>
      <c r="AS9" s="13">
        <v>4100</v>
      </c>
      <c r="AT9" s="14" t="s">
        <v>65</v>
      </c>
      <c r="AU9" s="15">
        <v>45356</v>
      </c>
      <c r="AV9" s="16">
        <f t="shared" si="15"/>
        <v>1</v>
      </c>
      <c r="AW9" s="16" t="s">
        <v>66</v>
      </c>
      <c r="AX9" s="17">
        <v>4100</v>
      </c>
      <c r="AY9" s="16">
        <f t="shared" si="16"/>
        <v>4100</v>
      </c>
      <c r="AZ9" s="15">
        <f t="shared" si="17"/>
        <v>45356</v>
      </c>
      <c r="BA9" s="18">
        <v>45371</v>
      </c>
      <c r="BB9" s="19">
        <f t="shared" si="18"/>
        <v>1</v>
      </c>
      <c r="BC9" s="19" t="str">
        <f t="shared" si="19"/>
        <v>ИП YYY</v>
      </c>
      <c r="BD9" s="19" t="str">
        <f t="shared" si="20"/>
        <v/>
      </c>
      <c r="BE9" s="19" t="str">
        <f t="shared" si="21"/>
        <v/>
      </c>
      <c r="BG9" s="6" t="str">
        <f t="shared" si="22"/>
        <v/>
      </c>
      <c r="BH9" s="6" t="str">
        <f t="shared" si="23"/>
        <v/>
      </c>
      <c r="BL9" s="6" t="str">
        <f t="shared" si="24"/>
        <v/>
      </c>
      <c r="BM9" s="6" t="str">
        <f t="shared" si="25"/>
        <v/>
      </c>
    </row>
    <row r="10" spans="2:66" x14ac:dyDescent="0.3">
      <c r="B10" s="6">
        <v>31</v>
      </c>
      <c r="C10" s="6" t="s">
        <v>82</v>
      </c>
      <c r="D10" s="6">
        <f t="shared" si="0"/>
        <v>1</v>
      </c>
      <c r="E10" s="6" t="str">
        <f>IFERROR(VLOOKUP($C10,Справочник!$B$2:$F$13,3),"")</f>
        <v/>
      </c>
      <c r="F10" s="7">
        <v>45000</v>
      </c>
      <c r="G10" s="6" t="str">
        <f t="shared" si="1"/>
        <v/>
      </c>
      <c r="I10" s="6" t="str">
        <f>IF(AND(F10&gt;0,J10="",AR10=""),IFERROR(VLOOKUP($C10,Справочник!$B$2:$F$13,2),""),"")</f>
        <v/>
      </c>
      <c r="J10" s="7">
        <v>45026</v>
      </c>
      <c r="K10" s="6">
        <v>31</v>
      </c>
      <c r="O10" s="6">
        <f t="shared" si="2"/>
        <v>1</v>
      </c>
      <c r="P10" s="6" t="str">
        <f>IF(J10&gt;0,IFERROR(VLOOKUP($C10,Справочник!$B$2:$F$13,2),""),"")</f>
        <v/>
      </c>
      <c r="Q10" s="6" t="str">
        <f t="shared" si="3"/>
        <v/>
      </c>
      <c r="R10" s="6" t="s">
        <v>61</v>
      </c>
      <c r="S10" s="8">
        <v>1</v>
      </c>
      <c r="T10" s="9" t="s">
        <v>62</v>
      </c>
      <c r="V10" s="6" t="str">
        <f>IFERROR(VLOOKUP($C10,Справочник!$B$2:$F$13,4),"")</f>
        <v/>
      </c>
      <c r="W10" s="10" t="s">
        <v>83</v>
      </c>
      <c r="X10" s="7">
        <v>45028</v>
      </c>
      <c r="Y10" s="6">
        <f t="shared" si="4"/>
        <v>1</v>
      </c>
      <c r="Z10" s="6" t="str">
        <f t="shared" si="5"/>
        <v/>
      </c>
      <c r="AA10" s="7">
        <v>45028</v>
      </c>
      <c r="AB10" s="6" t="str">
        <f t="shared" si="6"/>
        <v/>
      </c>
      <c r="AC10" s="6" t="str">
        <f t="shared" si="7"/>
        <v/>
      </c>
      <c r="AD10" s="7">
        <v>45029</v>
      </c>
      <c r="AE10" s="6">
        <f t="shared" si="8"/>
        <v>1</v>
      </c>
      <c r="AF10" s="6" t="s">
        <v>64</v>
      </c>
      <c r="AG10" s="6" t="str">
        <f t="shared" si="9"/>
        <v/>
      </c>
      <c r="AH10" s="6" t="str">
        <f t="shared" si="10"/>
        <v/>
      </c>
      <c r="AI10" s="7">
        <v>45031</v>
      </c>
      <c r="AJ10" s="6" t="str">
        <f t="shared" si="11"/>
        <v/>
      </c>
      <c r="AK10" s="6" t="str">
        <f t="shared" si="12"/>
        <v/>
      </c>
      <c r="AM10" s="6" t="str">
        <f t="shared" si="13"/>
        <v/>
      </c>
      <c r="AN10" s="6" t="str">
        <f t="shared" si="14"/>
        <v/>
      </c>
      <c r="AP10" s="11">
        <v>45337</v>
      </c>
      <c r="AQ10" s="12">
        <v>55</v>
      </c>
      <c r="AR10" s="12">
        <v>1</v>
      </c>
      <c r="AS10" s="13">
        <v>6500</v>
      </c>
      <c r="AT10" s="14" t="s">
        <v>65</v>
      </c>
      <c r="AU10" s="15">
        <v>45361</v>
      </c>
      <c r="AV10" s="16">
        <f t="shared" si="15"/>
        <v>1</v>
      </c>
      <c r="AW10" s="16" t="s">
        <v>66</v>
      </c>
      <c r="AX10" s="17">
        <v>6500</v>
      </c>
      <c r="AY10" s="16">
        <f t="shared" si="16"/>
        <v>6500</v>
      </c>
      <c r="AZ10" s="15">
        <f t="shared" si="17"/>
        <v>45361</v>
      </c>
      <c r="BA10" s="18">
        <v>45383</v>
      </c>
      <c r="BB10" s="19">
        <f t="shared" si="18"/>
        <v>1</v>
      </c>
      <c r="BC10" s="19" t="str">
        <f t="shared" si="19"/>
        <v/>
      </c>
      <c r="BD10" s="19" t="str">
        <f t="shared" si="20"/>
        <v/>
      </c>
      <c r="BE10" s="19" t="str">
        <f t="shared" si="21"/>
        <v/>
      </c>
      <c r="BG10" s="6" t="str">
        <f t="shared" si="22"/>
        <v/>
      </c>
      <c r="BH10" s="6" t="str">
        <f t="shared" si="23"/>
        <v/>
      </c>
      <c r="BL10" s="6" t="str">
        <f t="shared" si="24"/>
        <v/>
      </c>
      <c r="BM10" s="6" t="str">
        <f t="shared" si="25"/>
        <v/>
      </c>
    </row>
    <row r="11" spans="2:66" x14ac:dyDescent="0.3">
      <c r="B11" s="6">
        <v>61</v>
      </c>
      <c r="C11" s="6" t="s">
        <v>82</v>
      </c>
      <c r="D11" s="6">
        <f t="shared" si="0"/>
        <v>1</v>
      </c>
      <c r="E11" s="6" t="str">
        <f>IFERROR(VLOOKUP($C11,Справочник!$B$2:$F$13,3),"")</f>
        <v/>
      </c>
      <c r="F11" s="7">
        <v>45021</v>
      </c>
      <c r="G11" s="6" t="str">
        <f t="shared" si="1"/>
        <v/>
      </c>
      <c r="I11" s="6" t="str">
        <f>IF(AND(F11&gt;0,J11="",AR11=""),IFERROR(VLOOKUP($C11,Справочник!$B$2:$F$13,2),""),"")</f>
        <v/>
      </c>
      <c r="J11" s="7">
        <v>45044</v>
      </c>
      <c r="K11" s="6">
        <v>61</v>
      </c>
      <c r="O11" s="6">
        <f t="shared" si="2"/>
        <v>1</v>
      </c>
      <c r="P11" s="6" t="str">
        <f>IF(J11&gt;0,IFERROR(VLOOKUP($C11,Справочник!$B$2:$F$13,2),""),"")</f>
        <v/>
      </c>
      <c r="Q11" s="6" t="str">
        <f t="shared" si="3"/>
        <v/>
      </c>
      <c r="R11" s="6" t="s">
        <v>61</v>
      </c>
      <c r="S11" s="8">
        <v>1</v>
      </c>
      <c r="T11" s="9" t="s">
        <v>62</v>
      </c>
      <c r="V11" s="6" t="str">
        <f>IFERROR(VLOOKUP($C11,Справочник!$B$2:$F$13,4),"")</f>
        <v/>
      </c>
      <c r="W11" s="10" t="s">
        <v>84</v>
      </c>
      <c r="X11" s="7">
        <v>45046</v>
      </c>
      <c r="Y11" s="6">
        <f t="shared" si="4"/>
        <v>1</v>
      </c>
      <c r="Z11" s="6" t="str">
        <f t="shared" si="5"/>
        <v/>
      </c>
      <c r="AA11" s="7">
        <v>45046</v>
      </c>
      <c r="AB11" s="6" t="str">
        <f t="shared" si="6"/>
        <v/>
      </c>
      <c r="AC11" s="6" t="str">
        <f t="shared" si="7"/>
        <v/>
      </c>
      <c r="AD11" s="7">
        <v>45047</v>
      </c>
      <c r="AE11" s="6">
        <f t="shared" si="8"/>
        <v>1</v>
      </c>
      <c r="AF11" s="6" t="s">
        <v>64</v>
      </c>
      <c r="AG11" s="6" t="str">
        <f t="shared" si="9"/>
        <v/>
      </c>
      <c r="AH11" s="6" t="str">
        <f t="shared" si="10"/>
        <v/>
      </c>
      <c r="AI11" s="7">
        <v>45049</v>
      </c>
      <c r="AJ11" s="6" t="str">
        <f t="shared" si="11"/>
        <v/>
      </c>
      <c r="AK11" s="6" t="str">
        <f t="shared" si="12"/>
        <v/>
      </c>
      <c r="AM11" s="6" t="str">
        <f t="shared" si="13"/>
        <v/>
      </c>
      <c r="AN11" s="6" t="str">
        <f t="shared" si="14"/>
        <v/>
      </c>
      <c r="AP11" s="11">
        <v>45352</v>
      </c>
      <c r="AQ11" s="12">
        <v>41</v>
      </c>
      <c r="AR11" s="12">
        <v>1</v>
      </c>
      <c r="AS11" s="13">
        <v>6500</v>
      </c>
      <c r="AT11" s="14" t="s">
        <v>65</v>
      </c>
      <c r="AU11" s="15">
        <v>45383</v>
      </c>
      <c r="AV11" s="16">
        <f t="shared" si="15"/>
        <v>1</v>
      </c>
      <c r="AW11" s="16" t="s">
        <v>66</v>
      </c>
      <c r="AX11" s="17">
        <v>6500</v>
      </c>
      <c r="AY11" s="16">
        <f t="shared" si="16"/>
        <v>6500</v>
      </c>
      <c r="AZ11" s="15">
        <f t="shared" si="17"/>
        <v>45383</v>
      </c>
      <c r="BA11" s="18">
        <v>45397</v>
      </c>
      <c r="BB11" s="19">
        <f t="shared" si="18"/>
        <v>1</v>
      </c>
      <c r="BC11" s="19" t="str">
        <f t="shared" si="19"/>
        <v/>
      </c>
      <c r="BD11" s="19" t="str">
        <f t="shared" si="20"/>
        <v/>
      </c>
      <c r="BE11" s="19" t="str">
        <f t="shared" si="21"/>
        <v/>
      </c>
      <c r="BG11" s="6" t="str">
        <f t="shared" si="22"/>
        <v/>
      </c>
      <c r="BH11" s="6" t="str">
        <f t="shared" si="23"/>
        <v/>
      </c>
      <c r="BL11" s="6" t="str">
        <f t="shared" si="24"/>
        <v/>
      </c>
      <c r="BM11" s="6" t="str">
        <f t="shared" si="25"/>
        <v/>
      </c>
    </row>
    <row r="12" spans="2:66" x14ac:dyDescent="0.3">
      <c r="B12" s="6">
        <v>9</v>
      </c>
      <c r="C12" s="6" t="s">
        <v>85</v>
      </c>
      <c r="D12" s="6">
        <f t="shared" si="0"/>
        <v>1</v>
      </c>
      <c r="E12" s="6" t="str">
        <f>IFERROR(VLOOKUP($C12,Справочник!$B$2:$F$13,3),"")</f>
        <v>ИП YYY</v>
      </c>
      <c r="F12" s="7">
        <v>44978</v>
      </c>
      <c r="G12" s="6" t="str">
        <f t="shared" si="1"/>
        <v/>
      </c>
      <c r="I12" s="6" t="str">
        <f>IF(AND(F12&gt;0,J12="",AR12=""),IFERROR(VLOOKUP($C12,Справочник!$B$2:$F$13,2),""),"")</f>
        <v/>
      </c>
      <c r="J12" s="7">
        <v>44986</v>
      </c>
      <c r="K12" s="6">
        <v>9</v>
      </c>
      <c r="O12" s="6">
        <f t="shared" si="2"/>
        <v>1</v>
      </c>
      <c r="P12" s="6" t="str">
        <f>IF(J12&gt;0,IFERROR(VLOOKUP($C12,Справочник!$B$2:$F$13,2),""),"")</f>
        <v>ДГ-003/2023</v>
      </c>
      <c r="Q12" s="6" t="str">
        <f t="shared" si="3"/>
        <v>ИП YYY</v>
      </c>
      <c r="R12" s="6" t="s">
        <v>61</v>
      </c>
      <c r="T12" s="9" t="s">
        <v>62</v>
      </c>
      <c r="V12" s="6" t="str">
        <f>IFERROR(VLOOKUP($C12,Справочник!$B$2:$F$13,4),"")</f>
        <v>772011223344</v>
      </c>
      <c r="W12" s="10" t="s">
        <v>86</v>
      </c>
      <c r="X12" s="7">
        <v>44988</v>
      </c>
      <c r="Y12" s="6">
        <f t="shared" si="4"/>
        <v>1</v>
      </c>
      <c r="Z12" s="6" t="str">
        <f t="shared" si="5"/>
        <v>ИП YYY</v>
      </c>
      <c r="AA12" s="7">
        <v>44988</v>
      </c>
      <c r="AB12" s="6" t="str">
        <f t="shared" si="6"/>
        <v/>
      </c>
      <c r="AC12" s="6" t="str">
        <f t="shared" si="7"/>
        <v/>
      </c>
      <c r="AD12" s="7">
        <v>44988</v>
      </c>
      <c r="AE12" s="6">
        <f t="shared" si="8"/>
        <v>1</v>
      </c>
      <c r="AF12" s="6" t="s">
        <v>64</v>
      </c>
      <c r="AG12" s="6">
        <f t="shared" si="9"/>
        <v>1</v>
      </c>
      <c r="AH12" s="6" t="str">
        <f t="shared" si="10"/>
        <v>ИП YYY</v>
      </c>
      <c r="AJ12" s="6" t="str">
        <f t="shared" si="11"/>
        <v/>
      </c>
      <c r="AK12" s="6" t="str">
        <f t="shared" si="12"/>
        <v/>
      </c>
      <c r="AM12" s="6" t="str">
        <f t="shared" si="13"/>
        <v/>
      </c>
      <c r="AN12" s="6" t="str">
        <f t="shared" si="14"/>
        <v/>
      </c>
      <c r="AV12" s="16" t="str">
        <f t="shared" si="15"/>
        <v/>
      </c>
      <c r="AY12" s="16" t="str">
        <f t="shared" si="16"/>
        <v/>
      </c>
      <c r="AZ12" s="16" t="str">
        <f t="shared" si="17"/>
        <v/>
      </c>
      <c r="BB12" s="19" t="str">
        <f t="shared" si="18"/>
        <v/>
      </c>
      <c r="BC12" s="19" t="str">
        <f t="shared" si="19"/>
        <v/>
      </c>
      <c r="BD12" s="19" t="str">
        <f t="shared" si="20"/>
        <v/>
      </c>
      <c r="BE12" s="19" t="str">
        <f t="shared" si="21"/>
        <v/>
      </c>
      <c r="BG12" s="6" t="str">
        <f t="shared" si="22"/>
        <v/>
      </c>
      <c r="BH12" s="6" t="str">
        <f t="shared" si="23"/>
        <v/>
      </c>
      <c r="BL12" s="6" t="str">
        <f t="shared" si="24"/>
        <v/>
      </c>
      <c r="BM12" s="6" t="str">
        <f t="shared" si="25"/>
        <v/>
      </c>
    </row>
    <row r="13" spans="2:66" x14ac:dyDescent="0.3">
      <c r="B13" s="6">
        <v>11</v>
      </c>
      <c r="C13" s="6" t="s">
        <v>85</v>
      </c>
      <c r="D13" s="6">
        <f t="shared" si="0"/>
        <v>1</v>
      </c>
      <c r="E13" s="6" t="str">
        <f>IFERROR(VLOOKUP($C13,Справочник!$B$2:$F$13,3),"")</f>
        <v>ИП YYY</v>
      </c>
      <c r="F13" s="7">
        <v>44978</v>
      </c>
      <c r="G13" s="6" t="str">
        <f t="shared" si="1"/>
        <v/>
      </c>
      <c r="I13" s="6" t="str">
        <f>IF(AND(F13&gt;0,J13="",AR13=""),IFERROR(VLOOKUP($C13,Справочник!$B$2:$F$13,2),""),"")</f>
        <v/>
      </c>
      <c r="J13" s="7">
        <v>44986</v>
      </c>
      <c r="K13" s="6">
        <v>11</v>
      </c>
      <c r="O13" s="6">
        <f t="shared" si="2"/>
        <v>1</v>
      </c>
      <c r="P13" s="6" t="str">
        <f>IF(J13&gt;0,IFERROR(VLOOKUP($C13,Справочник!$B$2:$F$13,2),""),"")</f>
        <v>ДГ-003/2023</v>
      </c>
      <c r="Q13" s="6" t="str">
        <f t="shared" si="3"/>
        <v>ИП YYY</v>
      </c>
      <c r="R13" s="6" t="s">
        <v>61</v>
      </c>
      <c r="T13" s="9" t="s">
        <v>62</v>
      </c>
      <c r="V13" s="6" t="str">
        <f>IFERROR(VLOOKUP($C13,Справочник!$B$2:$F$13,4),"")</f>
        <v>772011223344</v>
      </c>
      <c r="W13" s="10" t="s">
        <v>87</v>
      </c>
      <c r="X13" s="7">
        <v>44988</v>
      </c>
      <c r="Y13" s="6">
        <f t="shared" si="4"/>
        <v>1</v>
      </c>
      <c r="Z13" s="6" t="str">
        <f t="shared" si="5"/>
        <v>ИП YYY</v>
      </c>
      <c r="AA13" s="7">
        <v>44988</v>
      </c>
      <c r="AB13" s="6" t="str">
        <f t="shared" si="6"/>
        <v/>
      </c>
      <c r="AC13" s="6" t="str">
        <f t="shared" si="7"/>
        <v/>
      </c>
      <c r="AD13" s="7">
        <v>44989</v>
      </c>
      <c r="AE13" s="6">
        <f t="shared" si="8"/>
        <v>1</v>
      </c>
      <c r="AF13" s="6" t="s">
        <v>64</v>
      </c>
      <c r="AG13" s="6">
        <f t="shared" si="9"/>
        <v>1</v>
      </c>
      <c r="AH13" s="6" t="str">
        <f t="shared" si="10"/>
        <v>ИП YYY</v>
      </c>
      <c r="AJ13" s="6" t="str">
        <f t="shared" si="11"/>
        <v/>
      </c>
      <c r="AK13" s="6" t="str">
        <f t="shared" si="12"/>
        <v/>
      </c>
      <c r="AM13" s="6" t="str">
        <f t="shared" si="13"/>
        <v/>
      </c>
      <c r="AN13" s="6" t="str">
        <f t="shared" si="14"/>
        <v/>
      </c>
      <c r="AV13" s="16" t="str">
        <f t="shared" si="15"/>
        <v/>
      </c>
      <c r="AY13" s="16" t="str">
        <f t="shared" si="16"/>
        <v/>
      </c>
      <c r="AZ13" s="16" t="str">
        <f t="shared" si="17"/>
        <v/>
      </c>
      <c r="BB13" s="19" t="str">
        <f t="shared" si="18"/>
        <v/>
      </c>
      <c r="BC13" s="19" t="str">
        <f t="shared" si="19"/>
        <v/>
      </c>
      <c r="BD13" s="19" t="str">
        <f t="shared" si="20"/>
        <v/>
      </c>
      <c r="BE13" s="19" t="str">
        <f t="shared" si="21"/>
        <v/>
      </c>
      <c r="BG13" s="6" t="str">
        <f t="shared" si="22"/>
        <v/>
      </c>
      <c r="BH13" s="6" t="str">
        <f t="shared" si="23"/>
        <v/>
      </c>
      <c r="BL13" s="6" t="str">
        <f t="shared" si="24"/>
        <v/>
      </c>
      <c r="BM13" s="6" t="str">
        <f t="shared" si="25"/>
        <v/>
      </c>
    </row>
    <row r="14" spans="2:66" ht="24" x14ac:dyDescent="0.3">
      <c r="B14" s="6">
        <v>22</v>
      </c>
      <c r="C14" s="6" t="s">
        <v>88</v>
      </c>
      <c r="D14" s="6">
        <f t="shared" si="0"/>
        <v>1</v>
      </c>
      <c r="E14" s="6" t="str">
        <f>IFERROR(VLOOKUP($C14,Справочник!$B$2:$F$13,3),"")</f>
        <v>АО «NNN»</v>
      </c>
      <c r="F14" s="7">
        <v>44986</v>
      </c>
      <c r="G14" s="6" t="str">
        <f t="shared" si="1"/>
        <v/>
      </c>
      <c r="I14" s="6" t="str">
        <f>IF(AND(F14&gt;0,J14="",AR14=""),IFERROR(VLOOKUP($C14,Справочник!$B$2:$F$13,2),""),"")</f>
        <v/>
      </c>
      <c r="J14" s="7">
        <v>45005</v>
      </c>
      <c r="K14" s="6">
        <v>22</v>
      </c>
      <c r="O14" s="6">
        <f t="shared" si="2"/>
        <v>1</v>
      </c>
      <c r="P14" s="6" t="str">
        <f>IF(J14&gt;0,IFERROR(VLOOKUP($C14,Справочник!$B$2:$F$13,2),""),"")</f>
        <v>ДГ-012/2023</v>
      </c>
      <c r="Q14" s="6" t="str">
        <f t="shared" si="3"/>
        <v>АО «NNN»</v>
      </c>
      <c r="R14" s="6" t="s">
        <v>72</v>
      </c>
      <c r="T14" s="9" t="s">
        <v>78</v>
      </c>
      <c r="V14" s="6" t="str">
        <f>IFERROR(VLOOKUP($C14,Справочник!$B$2:$F$13,4),"")</f>
        <v>7724567890</v>
      </c>
      <c r="W14" s="10" t="s">
        <v>89</v>
      </c>
      <c r="X14" s="7">
        <v>45008</v>
      </c>
      <c r="Y14" s="6">
        <f t="shared" si="4"/>
        <v>1</v>
      </c>
      <c r="Z14" s="6" t="str">
        <f t="shared" si="5"/>
        <v>АО «NNN»</v>
      </c>
      <c r="AA14" s="7">
        <v>45008</v>
      </c>
      <c r="AB14" s="6">
        <f t="shared" si="6"/>
        <v>1</v>
      </c>
      <c r="AC14" s="6" t="str">
        <f t="shared" si="7"/>
        <v>АО «NNN»</v>
      </c>
      <c r="AE14" s="6" t="str">
        <f t="shared" si="8"/>
        <v/>
      </c>
      <c r="AG14" s="6" t="str">
        <f t="shared" si="9"/>
        <v/>
      </c>
      <c r="AH14" s="6" t="str">
        <f t="shared" si="10"/>
        <v/>
      </c>
      <c r="AJ14" s="6" t="str">
        <f t="shared" si="11"/>
        <v/>
      </c>
      <c r="AK14" s="6" t="str">
        <f t="shared" si="12"/>
        <v/>
      </c>
      <c r="AM14" s="6" t="str">
        <f t="shared" si="13"/>
        <v/>
      </c>
      <c r="AN14" s="6" t="str">
        <f t="shared" si="14"/>
        <v/>
      </c>
      <c r="AV14" s="16" t="str">
        <f t="shared" si="15"/>
        <v/>
      </c>
      <c r="AY14" s="16" t="str">
        <f t="shared" si="16"/>
        <v/>
      </c>
      <c r="AZ14" s="16" t="str">
        <f t="shared" si="17"/>
        <v/>
      </c>
      <c r="BB14" s="19" t="str">
        <f t="shared" si="18"/>
        <v/>
      </c>
      <c r="BC14" s="19" t="str">
        <f t="shared" si="19"/>
        <v/>
      </c>
      <c r="BD14" s="19" t="str">
        <f t="shared" si="20"/>
        <v/>
      </c>
      <c r="BE14" s="19" t="str">
        <f t="shared" si="21"/>
        <v/>
      </c>
      <c r="BG14" s="6" t="str">
        <f t="shared" si="22"/>
        <v/>
      </c>
      <c r="BH14" s="6" t="str">
        <f t="shared" si="23"/>
        <v/>
      </c>
      <c r="BL14" s="6" t="str">
        <f t="shared" si="24"/>
        <v/>
      </c>
      <c r="BM14" s="6" t="str">
        <f t="shared" si="25"/>
        <v/>
      </c>
    </row>
    <row r="15" spans="2:66" x14ac:dyDescent="0.3">
      <c r="B15" s="6">
        <v>25</v>
      </c>
      <c r="C15" s="6" t="s">
        <v>90</v>
      </c>
      <c r="D15" s="6">
        <f t="shared" si="0"/>
        <v>1</v>
      </c>
      <c r="E15" s="6" t="str">
        <f>IFERROR(VLOOKUP($C15,Справочник!$B$2:$F$13,3),"")</f>
        <v>ИП YYY</v>
      </c>
      <c r="F15" s="7">
        <v>44990</v>
      </c>
      <c r="G15" s="6" t="str">
        <f t="shared" si="1"/>
        <v/>
      </c>
      <c r="I15" s="6" t="str">
        <f>IF(AND(F15&gt;0,J15="",AR15=""),IFERROR(VLOOKUP($C15,Справочник!$B$2:$F$13,2),""),"")</f>
        <v/>
      </c>
      <c r="J15" s="7">
        <v>45010</v>
      </c>
      <c r="K15" s="6">
        <v>25</v>
      </c>
      <c r="O15" s="6">
        <f t="shared" si="2"/>
        <v>1</v>
      </c>
      <c r="P15" s="6" t="str">
        <f>IF(J15&gt;0,IFERROR(VLOOKUP($C15,Справочник!$B$2:$F$13,2),""),"")</f>
        <v>ДГ-003/2023</v>
      </c>
      <c r="Q15" s="6" t="str">
        <f t="shared" si="3"/>
        <v>ИП YYY</v>
      </c>
      <c r="R15" s="6" t="s">
        <v>72</v>
      </c>
      <c r="T15" s="9" t="s">
        <v>78</v>
      </c>
      <c r="V15" s="6" t="str">
        <f>IFERROR(VLOOKUP($C15,Справочник!$B$2:$F$13,4),"")</f>
        <v>772011223344</v>
      </c>
      <c r="W15" s="10" t="s">
        <v>91</v>
      </c>
      <c r="X15" s="7">
        <v>45012</v>
      </c>
      <c r="Y15" s="6">
        <f t="shared" si="4"/>
        <v>1</v>
      </c>
      <c r="Z15" s="6" t="str">
        <f t="shared" si="5"/>
        <v>ИП YYY</v>
      </c>
      <c r="AA15" s="7">
        <v>45012</v>
      </c>
      <c r="AB15" s="6" t="str">
        <f t="shared" si="6"/>
        <v/>
      </c>
      <c r="AC15" s="6" t="str">
        <f t="shared" si="7"/>
        <v/>
      </c>
      <c r="AD15" s="7">
        <v>45013</v>
      </c>
      <c r="AE15" s="6">
        <f t="shared" si="8"/>
        <v>1</v>
      </c>
      <c r="AF15" s="6" t="s">
        <v>75</v>
      </c>
      <c r="AG15" s="6">
        <f t="shared" si="9"/>
        <v>1</v>
      </c>
      <c r="AH15" s="6" t="str">
        <f t="shared" si="10"/>
        <v>ИП YYY</v>
      </c>
      <c r="AJ15" s="6" t="str">
        <f t="shared" si="11"/>
        <v/>
      </c>
      <c r="AK15" s="6" t="str">
        <f t="shared" si="12"/>
        <v/>
      </c>
      <c r="AM15" s="6" t="str">
        <f t="shared" si="13"/>
        <v/>
      </c>
      <c r="AN15" s="6" t="str">
        <f t="shared" si="14"/>
        <v/>
      </c>
      <c r="AV15" s="16" t="str">
        <f t="shared" si="15"/>
        <v/>
      </c>
      <c r="AY15" s="16" t="str">
        <f t="shared" si="16"/>
        <v/>
      </c>
      <c r="AZ15" s="16" t="str">
        <f t="shared" si="17"/>
        <v/>
      </c>
      <c r="BB15" s="19" t="str">
        <f t="shared" si="18"/>
        <v/>
      </c>
      <c r="BC15" s="19" t="str">
        <f t="shared" si="19"/>
        <v/>
      </c>
      <c r="BD15" s="19" t="str">
        <f t="shared" si="20"/>
        <v/>
      </c>
      <c r="BE15" s="19" t="str">
        <f t="shared" si="21"/>
        <v/>
      </c>
      <c r="BG15" s="6" t="str">
        <f t="shared" si="22"/>
        <v/>
      </c>
      <c r="BH15" s="6" t="str">
        <f t="shared" si="23"/>
        <v/>
      </c>
      <c r="BL15" s="6" t="str">
        <f t="shared" si="24"/>
        <v/>
      </c>
      <c r="BM15" s="6" t="str">
        <f t="shared" si="25"/>
        <v/>
      </c>
    </row>
    <row r="16" spans="2:66" x14ac:dyDescent="0.3">
      <c r="B16" s="6">
        <v>19</v>
      </c>
      <c r="C16" s="6" t="s">
        <v>71</v>
      </c>
      <c r="D16" s="6">
        <f t="shared" si="0"/>
        <v>1</v>
      </c>
      <c r="E16" s="6" t="str">
        <f>IFERROR(VLOOKUP($C16,Справочник!$B$2:$F$13,3),"")</f>
        <v>АО «NNN»</v>
      </c>
      <c r="F16" s="7">
        <v>44986</v>
      </c>
      <c r="G16" s="6">
        <f t="shared" si="1"/>
        <v>1</v>
      </c>
      <c r="I16" s="6" t="str">
        <f>IF(AND(F16&gt;0,J16="",AR16=""),IFERROR(VLOOKUP($C16,Справочник!$B$2:$F$13,2),""),"")</f>
        <v>ДГ-012/2023</v>
      </c>
      <c r="K16" s="6">
        <v>19</v>
      </c>
      <c r="O16" s="6" t="str">
        <f t="shared" si="2"/>
        <v/>
      </c>
      <c r="P16" s="6" t="str">
        <f>IF(J16&gt;0,IFERROR(VLOOKUP($C16,Справочник!$B$2:$F$13,2),""),"")</f>
        <v/>
      </c>
      <c r="Q16" s="6" t="str">
        <f t="shared" si="3"/>
        <v/>
      </c>
      <c r="R16" s="6" t="s">
        <v>72</v>
      </c>
      <c r="T16" s="9" t="s">
        <v>73</v>
      </c>
      <c r="V16" s="6" t="str">
        <f>IFERROR(VLOOKUP($C16,Справочник!$B$2:$F$13,4),"")</f>
        <v>7724567890</v>
      </c>
      <c r="W16" s="10" t="s">
        <v>92</v>
      </c>
      <c r="Y16" s="6" t="str">
        <f t="shared" si="4"/>
        <v/>
      </c>
      <c r="Z16" s="6" t="str">
        <f t="shared" si="5"/>
        <v/>
      </c>
      <c r="AB16" s="6" t="str">
        <f t="shared" si="6"/>
        <v/>
      </c>
      <c r="AC16" s="6" t="str">
        <f t="shared" si="7"/>
        <v/>
      </c>
      <c r="AE16" s="6" t="str">
        <f t="shared" si="8"/>
        <v/>
      </c>
      <c r="AG16" s="6" t="str">
        <f t="shared" si="9"/>
        <v/>
      </c>
      <c r="AH16" s="6" t="str">
        <f t="shared" si="10"/>
        <v/>
      </c>
      <c r="AJ16" s="6" t="str">
        <f t="shared" si="11"/>
        <v/>
      </c>
      <c r="AK16" s="6" t="str">
        <f t="shared" si="12"/>
        <v/>
      </c>
      <c r="AM16" s="6" t="str">
        <f t="shared" si="13"/>
        <v/>
      </c>
      <c r="AN16" s="6" t="str">
        <f t="shared" si="14"/>
        <v/>
      </c>
      <c r="AV16" s="16" t="str">
        <f t="shared" si="15"/>
        <v/>
      </c>
      <c r="AY16" s="16" t="str">
        <f t="shared" si="16"/>
        <v/>
      </c>
      <c r="AZ16" s="16" t="str">
        <f t="shared" si="17"/>
        <v/>
      </c>
      <c r="BB16" s="19" t="str">
        <f t="shared" si="18"/>
        <v/>
      </c>
      <c r="BC16" s="19" t="str">
        <f t="shared" si="19"/>
        <v/>
      </c>
      <c r="BD16" s="19" t="str">
        <f t="shared" si="20"/>
        <v/>
      </c>
      <c r="BE16" s="19" t="str">
        <f t="shared" si="21"/>
        <v/>
      </c>
      <c r="BG16" s="6" t="str">
        <f t="shared" si="22"/>
        <v/>
      </c>
      <c r="BH16" s="6" t="str">
        <f t="shared" si="23"/>
        <v/>
      </c>
      <c r="BL16" s="6" t="str">
        <f t="shared" si="24"/>
        <v/>
      </c>
      <c r="BM16" s="6" t="str">
        <f t="shared" si="25"/>
        <v/>
      </c>
    </row>
    <row r="17" spans="2:65" x14ac:dyDescent="0.3">
      <c r="B17" s="6">
        <v>20</v>
      </c>
      <c r="C17" s="6" t="s">
        <v>88</v>
      </c>
      <c r="D17" s="6">
        <f t="shared" si="0"/>
        <v>1</v>
      </c>
      <c r="E17" s="6" t="str">
        <f>IFERROR(VLOOKUP($C17,Справочник!$B$2:$F$13,3),"")</f>
        <v>АО «NNN»</v>
      </c>
      <c r="F17" s="7">
        <v>44986</v>
      </c>
      <c r="G17" s="6">
        <f t="shared" si="1"/>
        <v>1</v>
      </c>
      <c r="I17" s="6" t="str">
        <f>IF(AND(F17&gt;0,J17="",AR17=""),IFERROR(VLOOKUP($C17,Справочник!$B$2:$F$13,2),""),"")</f>
        <v>ДГ-012/2023</v>
      </c>
      <c r="K17" s="6">
        <v>20</v>
      </c>
      <c r="O17" s="6" t="str">
        <f t="shared" si="2"/>
        <v/>
      </c>
      <c r="P17" s="6" t="str">
        <f>IF(J17&gt;0,IFERROR(VLOOKUP($C17,Справочник!$B$2:$F$13,2),""),"")</f>
        <v/>
      </c>
      <c r="Q17" s="6" t="str">
        <f t="shared" si="3"/>
        <v/>
      </c>
      <c r="R17" s="6" t="s">
        <v>72</v>
      </c>
      <c r="T17" s="9" t="s">
        <v>78</v>
      </c>
      <c r="V17" s="6" t="str">
        <f>IFERROR(VLOOKUP($C17,Справочник!$B$2:$F$13,4),"")</f>
        <v>7724567890</v>
      </c>
      <c r="W17" s="10" t="s">
        <v>93</v>
      </c>
      <c r="Y17" s="6" t="str">
        <f t="shared" si="4"/>
        <v/>
      </c>
      <c r="Z17" s="6" t="str">
        <f t="shared" si="5"/>
        <v/>
      </c>
      <c r="AB17" s="6" t="str">
        <f t="shared" si="6"/>
        <v/>
      </c>
      <c r="AC17" s="6" t="str">
        <f t="shared" si="7"/>
        <v/>
      </c>
      <c r="AE17" s="6" t="str">
        <f t="shared" si="8"/>
        <v/>
      </c>
      <c r="AG17" s="6" t="str">
        <f t="shared" si="9"/>
        <v/>
      </c>
      <c r="AH17" s="6" t="str">
        <f t="shared" si="10"/>
        <v/>
      </c>
      <c r="AJ17" s="6" t="str">
        <f t="shared" si="11"/>
        <v/>
      </c>
      <c r="AK17" s="6" t="str">
        <f t="shared" si="12"/>
        <v/>
      </c>
      <c r="AM17" s="6" t="str">
        <f t="shared" si="13"/>
        <v/>
      </c>
      <c r="AN17" s="6" t="str">
        <f t="shared" si="14"/>
        <v/>
      </c>
      <c r="AV17" s="16" t="str">
        <f t="shared" si="15"/>
        <v/>
      </c>
      <c r="AY17" s="16" t="str">
        <f t="shared" si="16"/>
        <v/>
      </c>
      <c r="AZ17" s="16" t="str">
        <f t="shared" si="17"/>
        <v/>
      </c>
      <c r="BB17" s="19" t="str">
        <f t="shared" si="18"/>
        <v/>
      </c>
      <c r="BC17" s="19" t="str">
        <f t="shared" si="19"/>
        <v/>
      </c>
      <c r="BD17" s="19" t="str">
        <f t="shared" si="20"/>
        <v/>
      </c>
      <c r="BE17" s="19" t="str">
        <f t="shared" si="21"/>
        <v/>
      </c>
      <c r="BG17" s="6" t="str">
        <f t="shared" si="22"/>
        <v/>
      </c>
      <c r="BH17" s="6" t="str">
        <f t="shared" si="23"/>
        <v/>
      </c>
      <c r="BL17" s="6" t="str">
        <f t="shared" si="24"/>
        <v/>
      </c>
      <c r="BM17" s="6" t="str">
        <f t="shared" si="25"/>
        <v/>
      </c>
    </row>
    <row r="18" spans="2:65" x14ac:dyDescent="0.3">
      <c r="B18" s="6">
        <v>24</v>
      </c>
      <c r="C18" s="6" t="s">
        <v>90</v>
      </c>
      <c r="D18" s="6">
        <f t="shared" si="0"/>
        <v>1</v>
      </c>
      <c r="E18" s="6" t="str">
        <f>IFERROR(VLOOKUP($C18,Справочник!$B$2:$F$13,3),"")</f>
        <v>ИП YYY</v>
      </c>
      <c r="F18" s="7">
        <v>44990</v>
      </c>
      <c r="G18" s="6">
        <f t="shared" si="1"/>
        <v>1</v>
      </c>
      <c r="I18" s="6" t="str">
        <f>IF(AND(F18&gt;0,J18="",AR18=""),IFERROR(VLOOKUP($C18,Справочник!$B$2:$F$13,2),""),"")</f>
        <v>ДГ-003/2023</v>
      </c>
      <c r="K18" s="6">
        <v>24</v>
      </c>
      <c r="O18" s="6" t="str">
        <f t="shared" si="2"/>
        <v/>
      </c>
      <c r="P18" s="6" t="str">
        <f>IF(J18&gt;0,IFERROR(VLOOKUP($C18,Справочник!$B$2:$F$13,2),""),"")</f>
        <v/>
      </c>
      <c r="Q18" s="6" t="str">
        <f t="shared" si="3"/>
        <v/>
      </c>
      <c r="R18" s="6" t="s">
        <v>72</v>
      </c>
      <c r="T18" s="9" t="s">
        <v>78</v>
      </c>
      <c r="V18" s="6" t="str">
        <f>IFERROR(VLOOKUP($C18,Справочник!$B$2:$F$13,4),"")</f>
        <v>772011223344</v>
      </c>
      <c r="W18" s="10" t="s">
        <v>94</v>
      </c>
      <c r="Y18" s="6" t="str">
        <f t="shared" si="4"/>
        <v/>
      </c>
      <c r="Z18" s="6" t="str">
        <f t="shared" si="5"/>
        <v/>
      </c>
      <c r="AB18" s="6" t="str">
        <f t="shared" si="6"/>
        <v/>
      </c>
      <c r="AC18" s="6" t="str">
        <f t="shared" si="7"/>
        <v/>
      </c>
      <c r="AE18" s="6" t="str">
        <f t="shared" si="8"/>
        <v/>
      </c>
      <c r="AG18" s="6" t="str">
        <f t="shared" si="9"/>
        <v/>
      </c>
      <c r="AH18" s="6" t="str">
        <f t="shared" si="10"/>
        <v/>
      </c>
      <c r="AJ18" s="6" t="str">
        <f t="shared" si="11"/>
        <v/>
      </c>
      <c r="AK18" s="6" t="str">
        <f t="shared" si="12"/>
        <v/>
      </c>
      <c r="AM18" s="6" t="str">
        <f t="shared" si="13"/>
        <v/>
      </c>
      <c r="AN18" s="6" t="str">
        <f t="shared" si="14"/>
        <v/>
      </c>
      <c r="AV18" s="16" t="str">
        <f t="shared" si="15"/>
        <v/>
      </c>
      <c r="AY18" s="16" t="str">
        <f t="shared" si="16"/>
        <v/>
      </c>
      <c r="AZ18" s="16" t="str">
        <f t="shared" si="17"/>
        <v/>
      </c>
      <c r="BB18" s="19" t="str">
        <f t="shared" si="18"/>
        <v/>
      </c>
      <c r="BC18" s="19" t="str">
        <f t="shared" si="19"/>
        <v/>
      </c>
      <c r="BD18" s="19" t="str">
        <f t="shared" si="20"/>
        <v/>
      </c>
      <c r="BE18" s="19" t="str">
        <f t="shared" si="21"/>
        <v/>
      </c>
      <c r="BG18" s="6" t="str">
        <f t="shared" si="22"/>
        <v/>
      </c>
      <c r="BH18" s="6" t="str">
        <f t="shared" si="23"/>
        <v/>
      </c>
      <c r="BL18" s="6" t="str">
        <f t="shared" si="24"/>
        <v/>
      </c>
      <c r="BM18" s="6" t="str">
        <f t="shared" si="25"/>
        <v/>
      </c>
    </row>
    <row r="19" spans="2:65" ht="24" x14ac:dyDescent="0.3">
      <c r="B19" s="6">
        <v>26</v>
      </c>
      <c r="C19" s="6" t="s">
        <v>77</v>
      </c>
      <c r="D19" s="6">
        <f t="shared" si="0"/>
        <v>1</v>
      </c>
      <c r="E19" s="6" t="str">
        <f>IFERROR(VLOOKUP($C19,Справочник!$B$2:$F$13,3),"")</f>
        <v>ООО «DDD»</v>
      </c>
      <c r="F19" s="7">
        <v>44990</v>
      </c>
      <c r="G19" s="6">
        <f t="shared" si="1"/>
        <v>1</v>
      </c>
      <c r="I19" s="6" t="str">
        <f>IF(AND(F19&gt;0,J19="",AR19=""),IFERROR(VLOOKUP($C19,Справочник!$B$2:$F$13,2),""),"")</f>
        <v>ДГ-006/2023</v>
      </c>
      <c r="K19" s="6">
        <v>26</v>
      </c>
      <c r="O19" s="6" t="str">
        <f t="shared" si="2"/>
        <v/>
      </c>
      <c r="P19" s="6" t="str">
        <f>IF(J19&gt;0,IFERROR(VLOOKUP($C19,Справочник!$B$2:$F$13,2),""),"")</f>
        <v/>
      </c>
      <c r="Q19" s="6" t="str">
        <f t="shared" si="3"/>
        <v/>
      </c>
      <c r="R19" s="6" t="s">
        <v>72</v>
      </c>
      <c r="T19" s="9" t="s">
        <v>78</v>
      </c>
      <c r="V19" s="6" t="str">
        <f>IFERROR(VLOOKUP($C19,Справочник!$B$2:$F$13,4),"")</f>
        <v>7706543217</v>
      </c>
      <c r="W19" s="10" t="s">
        <v>95</v>
      </c>
      <c r="X19" s="7">
        <v>45012</v>
      </c>
      <c r="Y19" s="6" t="str">
        <f t="shared" si="4"/>
        <v/>
      </c>
      <c r="Z19" s="6" t="str">
        <f t="shared" si="5"/>
        <v>ООО «DDD»</v>
      </c>
      <c r="AB19" s="6" t="str">
        <f t="shared" si="6"/>
        <v/>
      </c>
      <c r="AC19" s="6" t="str">
        <f t="shared" si="7"/>
        <v/>
      </c>
      <c r="AE19" s="6" t="str">
        <f t="shared" si="8"/>
        <v/>
      </c>
      <c r="AG19" s="6" t="str">
        <f t="shared" si="9"/>
        <v/>
      </c>
      <c r="AH19" s="6" t="str">
        <f t="shared" si="10"/>
        <v/>
      </c>
      <c r="AJ19" s="6" t="str">
        <f t="shared" si="11"/>
        <v/>
      </c>
      <c r="AK19" s="6" t="str">
        <f t="shared" si="12"/>
        <v/>
      </c>
      <c r="AM19" s="6" t="str">
        <f t="shared" si="13"/>
        <v/>
      </c>
      <c r="AN19" s="6" t="str">
        <f t="shared" si="14"/>
        <v/>
      </c>
      <c r="AV19" s="16" t="str">
        <f t="shared" si="15"/>
        <v/>
      </c>
      <c r="AY19" s="16" t="str">
        <f t="shared" si="16"/>
        <v/>
      </c>
      <c r="AZ19" s="16" t="str">
        <f t="shared" si="17"/>
        <v/>
      </c>
      <c r="BB19" s="19" t="str">
        <f t="shared" si="18"/>
        <v/>
      </c>
      <c r="BC19" s="19" t="str">
        <f t="shared" si="19"/>
        <v/>
      </c>
      <c r="BD19" s="19" t="str">
        <f t="shared" si="20"/>
        <v/>
      </c>
      <c r="BE19" s="19" t="str">
        <f t="shared" si="21"/>
        <v/>
      </c>
      <c r="BG19" s="6" t="str">
        <f t="shared" si="22"/>
        <v/>
      </c>
      <c r="BH19" s="6" t="str">
        <f t="shared" si="23"/>
        <v/>
      </c>
      <c r="BL19" s="6" t="str">
        <f t="shared" si="24"/>
        <v/>
      </c>
      <c r="BM19" s="6" t="str">
        <f t="shared" si="25"/>
        <v/>
      </c>
    </row>
    <row r="20" spans="2:65" x14ac:dyDescent="0.3">
      <c r="B20" s="6">
        <v>29</v>
      </c>
      <c r="C20" s="6" t="s">
        <v>80</v>
      </c>
      <c r="D20" s="6">
        <f t="shared" si="0"/>
        <v>1</v>
      </c>
      <c r="E20" s="6" t="str">
        <f>IFERROR(VLOOKUP($C20,Справочник!$B$2:$F$13,3),"")</f>
        <v>ИП YYY</v>
      </c>
      <c r="F20" s="7">
        <v>44995</v>
      </c>
      <c r="G20" s="6">
        <f t="shared" si="1"/>
        <v>1</v>
      </c>
      <c r="I20" s="6" t="str">
        <f>IF(AND(F20&gt;0,J20="",AR20=""),IFERROR(VLOOKUP($C20,Справочник!$B$2:$F$13,2),""),"")</f>
        <v>ДГ-003/2023</v>
      </c>
      <c r="K20" s="6">
        <v>29</v>
      </c>
      <c r="O20" s="6" t="str">
        <f t="shared" si="2"/>
        <v/>
      </c>
      <c r="P20" s="6" t="str">
        <f>IF(J20&gt;0,IFERROR(VLOOKUP($C20,Справочник!$B$2:$F$13,2),""),"")</f>
        <v/>
      </c>
      <c r="Q20" s="6" t="str">
        <f t="shared" si="3"/>
        <v/>
      </c>
      <c r="R20" s="6" t="s">
        <v>72</v>
      </c>
      <c r="T20" s="9" t="s">
        <v>78</v>
      </c>
      <c r="V20" s="6" t="str">
        <f>IFERROR(VLOOKUP($C20,Справочник!$B$2:$F$13,4),"")</f>
        <v>772011223344</v>
      </c>
      <c r="W20" s="10" t="s">
        <v>96</v>
      </c>
      <c r="Y20" s="6" t="str">
        <f t="shared" si="4"/>
        <v/>
      </c>
      <c r="Z20" s="6" t="str">
        <f t="shared" si="5"/>
        <v/>
      </c>
      <c r="AB20" s="6" t="str">
        <f t="shared" si="6"/>
        <v/>
      </c>
      <c r="AC20" s="6" t="str">
        <f t="shared" si="7"/>
        <v/>
      </c>
      <c r="AE20" s="6" t="str">
        <f t="shared" si="8"/>
        <v/>
      </c>
      <c r="AG20" s="6" t="str">
        <f t="shared" si="9"/>
        <v/>
      </c>
      <c r="AH20" s="6" t="str">
        <f t="shared" si="10"/>
        <v/>
      </c>
      <c r="AJ20" s="6" t="str">
        <f t="shared" si="11"/>
        <v/>
      </c>
      <c r="AK20" s="6" t="str">
        <f t="shared" si="12"/>
        <v/>
      </c>
      <c r="AM20" s="6" t="str">
        <f t="shared" si="13"/>
        <v/>
      </c>
      <c r="AN20" s="6" t="str">
        <f t="shared" si="14"/>
        <v/>
      </c>
      <c r="AV20" s="16" t="str">
        <f t="shared" si="15"/>
        <v/>
      </c>
      <c r="AY20" s="16" t="str">
        <f t="shared" si="16"/>
        <v/>
      </c>
      <c r="AZ20" s="16" t="str">
        <f t="shared" si="17"/>
        <v/>
      </c>
      <c r="BB20" s="19" t="str">
        <f t="shared" si="18"/>
        <v/>
      </c>
      <c r="BC20" s="19" t="str">
        <f t="shared" si="19"/>
        <v/>
      </c>
      <c r="BD20" s="19" t="str">
        <f t="shared" si="20"/>
        <v/>
      </c>
      <c r="BE20" s="19" t="str">
        <f t="shared" si="21"/>
        <v/>
      </c>
      <c r="BG20" s="6" t="str">
        <f t="shared" si="22"/>
        <v/>
      </c>
      <c r="BH20" s="6" t="str">
        <f t="shared" si="23"/>
        <v/>
      </c>
      <c r="BL20" s="6" t="str">
        <f t="shared" si="24"/>
        <v/>
      </c>
      <c r="BM20" s="6" t="str">
        <f t="shared" si="25"/>
        <v/>
      </c>
    </row>
    <row r="21" spans="2:65" x14ac:dyDescent="0.3">
      <c r="B21" s="6">
        <v>32</v>
      </c>
      <c r="C21" s="6" t="s">
        <v>82</v>
      </c>
      <c r="D21" s="6">
        <f t="shared" si="0"/>
        <v>1</v>
      </c>
      <c r="E21" s="6" t="str">
        <f>IFERROR(VLOOKUP($C21,Справочник!$B$2:$F$13,3),"")</f>
        <v/>
      </c>
      <c r="F21" s="7">
        <v>45000</v>
      </c>
      <c r="G21" s="6">
        <f t="shared" si="1"/>
        <v>1</v>
      </c>
      <c r="I21" s="6" t="str">
        <f>IF(AND(F21&gt;0,J21="",AR21=""),IFERROR(VLOOKUP($C21,Справочник!$B$2:$F$13,2),""),"")</f>
        <v/>
      </c>
      <c r="K21" s="6">
        <v>32</v>
      </c>
      <c r="O21" s="6" t="str">
        <f t="shared" si="2"/>
        <v/>
      </c>
      <c r="P21" s="6" t="str">
        <f>IF(J21&gt;0,IFERROR(VLOOKUP($C21,Справочник!$B$2:$F$13,2),""),"")</f>
        <v/>
      </c>
      <c r="Q21" s="6" t="str">
        <f t="shared" si="3"/>
        <v/>
      </c>
      <c r="R21" s="6" t="s">
        <v>61</v>
      </c>
      <c r="T21" s="9" t="s">
        <v>62</v>
      </c>
      <c r="V21" s="6" t="str">
        <f>IFERROR(VLOOKUP($C21,Справочник!$B$2:$F$13,4),"")</f>
        <v/>
      </c>
      <c r="W21" s="10" t="s">
        <v>97</v>
      </c>
      <c r="X21" s="7">
        <v>45028</v>
      </c>
      <c r="Y21" s="6" t="str">
        <f t="shared" si="4"/>
        <v/>
      </c>
      <c r="Z21" s="6" t="str">
        <f t="shared" si="5"/>
        <v/>
      </c>
      <c r="AA21" s="7">
        <v>45028</v>
      </c>
      <c r="AB21" s="6" t="str">
        <f t="shared" si="6"/>
        <v/>
      </c>
      <c r="AC21" s="6" t="str">
        <f t="shared" si="7"/>
        <v/>
      </c>
      <c r="AE21" s="6" t="str">
        <f t="shared" si="8"/>
        <v/>
      </c>
      <c r="AG21" s="6" t="str">
        <f t="shared" si="9"/>
        <v/>
      </c>
      <c r="AH21" s="6" t="str">
        <f t="shared" si="10"/>
        <v/>
      </c>
      <c r="AJ21" s="6" t="str">
        <f t="shared" si="11"/>
        <v/>
      </c>
      <c r="AK21" s="6" t="str">
        <f t="shared" si="12"/>
        <v/>
      </c>
      <c r="AM21" s="6" t="str">
        <f t="shared" si="13"/>
        <v/>
      </c>
      <c r="AN21" s="6" t="str">
        <f t="shared" si="14"/>
        <v/>
      </c>
      <c r="AV21" s="16" t="str">
        <f t="shared" si="15"/>
        <v/>
      </c>
      <c r="AY21" s="16" t="str">
        <f t="shared" si="16"/>
        <v/>
      </c>
      <c r="AZ21" s="16" t="str">
        <f t="shared" si="17"/>
        <v/>
      </c>
      <c r="BB21" s="19" t="str">
        <f t="shared" si="18"/>
        <v/>
      </c>
      <c r="BC21" s="19" t="str">
        <f t="shared" si="19"/>
        <v/>
      </c>
      <c r="BD21" s="19" t="str">
        <f t="shared" si="20"/>
        <v/>
      </c>
      <c r="BE21" s="19" t="str">
        <f t="shared" si="21"/>
        <v/>
      </c>
      <c r="BG21" s="6" t="str">
        <f t="shared" si="22"/>
        <v/>
      </c>
      <c r="BH21" s="6" t="str">
        <f t="shared" si="23"/>
        <v/>
      </c>
      <c r="BL21" s="6" t="str">
        <f t="shared" si="24"/>
        <v/>
      </c>
      <c r="BM21" s="6" t="str">
        <f t="shared" si="25"/>
        <v/>
      </c>
    </row>
    <row r="22" spans="2:65" x14ac:dyDescent="0.3">
      <c r="B22" s="6">
        <v>36</v>
      </c>
      <c r="C22" s="6" t="s">
        <v>69</v>
      </c>
      <c r="D22" s="6">
        <f t="shared" si="0"/>
        <v>1</v>
      </c>
      <c r="E22" s="6" t="str">
        <f>IFERROR(VLOOKUP($C22,Справочник!$B$2:$F$13,3),"")</f>
        <v>ИП YYY</v>
      </c>
      <c r="F22" s="7">
        <v>45005</v>
      </c>
      <c r="G22" s="6">
        <f t="shared" si="1"/>
        <v>1</v>
      </c>
      <c r="I22" s="6" t="str">
        <f>IF(AND(F22&gt;0,J22="",AR22=""),IFERROR(VLOOKUP($C22,Справочник!$B$2:$F$13,2),""),"")</f>
        <v>ДГ-003/2023</v>
      </c>
      <c r="K22" s="6">
        <v>36</v>
      </c>
      <c r="O22" s="6" t="str">
        <f t="shared" si="2"/>
        <v/>
      </c>
      <c r="P22" s="6" t="str">
        <f>IF(J22&gt;0,IFERROR(VLOOKUP($C22,Справочник!$B$2:$F$13,2),""),"")</f>
        <v/>
      </c>
      <c r="Q22" s="6" t="str">
        <f t="shared" si="3"/>
        <v/>
      </c>
      <c r="R22" s="6" t="s">
        <v>61</v>
      </c>
      <c r="T22" s="9" t="s">
        <v>62</v>
      </c>
      <c r="V22" s="6" t="str">
        <f>IFERROR(VLOOKUP($C22,Справочник!$B$2:$F$13,4),"")</f>
        <v>772011223344</v>
      </c>
      <c r="W22" s="10" t="s">
        <v>98</v>
      </c>
      <c r="X22" s="7">
        <v>45033</v>
      </c>
      <c r="Y22" s="6" t="str">
        <f t="shared" si="4"/>
        <v/>
      </c>
      <c r="Z22" s="6" t="str">
        <f t="shared" si="5"/>
        <v>ИП YYY</v>
      </c>
      <c r="AA22" s="7">
        <v>45033</v>
      </c>
      <c r="AB22" s="6" t="str">
        <f t="shared" si="6"/>
        <v/>
      </c>
      <c r="AC22" s="6" t="str">
        <f t="shared" si="7"/>
        <v/>
      </c>
      <c r="AD22" s="7">
        <v>45034</v>
      </c>
      <c r="AE22" s="6" t="str">
        <f t="shared" si="8"/>
        <v/>
      </c>
      <c r="AF22" s="6" t="s">
        <v>64</v>
      </c>
      <c r="AG22" s="6" t="str">
        <f t="shared" si="9"/>
        <v/>
      </c>
      <c r="AH22" s="6" t="str">
        <f t="shared" si="10"/>
        <v/>
      </c>
      <c r="AI22" s="7">
        <v>45036</v>
      </c>
      <c r="AJ22" s="6" t="str">
        <f t="shared" si="11"/>
        <v/>
      </c>
      <c r="AK22" s="6" t="str">
        <f t="shared" si="12"/>
        <v>ИП YYY</v>
      </c>
      <c r="AM22" s="6" t="str">
        <f t="shared" si="13"/>
        <v/>
      </c>
      <c r="AN22" s="6" t="str">
        <f t="shared" si="14"/>
        <v/>
      </c>
      <c r="AV22" s="16" t="str">
        <f t="shared" si="15"/>
        <v/>
      </c>
      <c r="AY22" s="16" t="str">
        <f t="shared" si="16"/>
        <v/>
      </c>
      <c r="AZ22" s="16" t="str">
        <f t="shared" si="17"/>
        <v/>
      </c>
      <c r="BB22" s="19" t="str">
        <f t="shared" si="18"/>
        <v/>
      </c>
      <c r="BC22" s="19" t="str">
        <f t="shared" si="19"/>
        <v/>
      </c>
      <c r="BD22" s="19" t="str">
        <f t="shared" si="20"/>
        <v/>
      </c>
      <c r="BE22" s="19" t="str">
        <f t="shared" si="21"/>
        <v/>
      </c>
      <c r="BG22" s="6" t="str">
        <f t="shared" si="22"/>
        <v/>
      </c>
      <c r="BH22" s="6" t="str">
        <f t="shared" si="23"/>
        <v/>
      </c>
      <c r="BL22" s="6" t="str">
        <f t="shared" si="24"/>
        <v/>
      </c>
      <c r="BM22" s="6" t="str">
        <f t="shared" si="25"/>
        <v/>
      </c>
    </row>
    <row r="23" spans="2:65" x14ac:dyDescent="0.3">
      <c r="B23" s="6">
        <v>55</v>
      </c>
      <c r="C23" s="6" t="s">
        <v>82</v>
      </c>
      <c r="D23" s="6">
        <f t="shared" si="0"/>
        <v>1</v>
      </c>
      <c r="E23" s="6" t="str">
        <f>IFERROR(VLOOKUP($C23,Справочник!$B$2:$F$13,3),"")</f>
        <v/>
      </c>
      <c r="F23" s="7">
        <v>45017</v>
      </c>
      <c r="G23" s="6">
        <f t="shared" si="1"/>
        <v>1</v>
      </c>
      <c r="I23" s="6" t="str">
        <f>IF(AND(F23&gt;0,J23="",AR23=""),IFERROR(VLOOKUP($C23,Справочник!$B$2:$F$13,2),""),"")</f>
        <v/>
      </c>
      <c r="K23" s="6">
        <v>55</v>
      </c>
      <c r="O23" s="6" t="str">
        <f t="shared" si="2"/>
        <v/>
      </c>
      <c r="P23" s="6" t="str">
        <f>IF(J23&gt;0,IFERROR(VLOOKUP($C23,Справочник!$B$2:$F$13,2),""),"")</f>
        <v/>
      </c>
      <c r="Q23" s="6" t="str">
        <f t="shared" si="3"/>
        <v/>
      </c>
      <c r="R23" s="6" t="s">
        <v>61</v>
      </c>
      <c r="T23" s="9" t="s">
        <v>62</v>
      </c>
      <c r="V23" s="6" t="str">
        <f>IFERROR(VLOOKUP($C23,Справочник!$B$2:$F$13,4),"")</f>
        <v/>
      </c>
      <c r="W23" s="10" t="s">
        <v>99</v>
      </c>
      <c r="Y23" s="6" t="str">
        <f t="shared" si="4"/>
        <v/>
      </c>
      <c r="Z23" s="6" t="str">
        <f t="shared" si="5"/>
        <v/>
      </c>
      <c r="AB23" s="6" t="str">
        <f t="shared" si="6"/>
        <v/>
      </c>
      <c r="AC23" s="6" t="str">
        <f t="shared" si="7"/>
        <v/>
      </c>
      <c r="AE23" s="6" t="str">
        <f t="shared" si="8"/>
        <v/>
      </c>
      <c r="AG23" s="6" t="str">
        <f t="shared" si="9"/>
        <v/>
      </c>
      <c r="AH23" s="6" t="str">
        <f t="shared" si="10"/>
        <v/>
      </c>
      <c r="AJ23" s="6" t="str">
        <f t="shared" si="11"/>
        <v/>
      </c>
      <c r="AK23" s="6" t="str">
        <f t="shared" si="12"/>
        <v/>
      </c>
      <c r="AM23" s="6" t="str">
        <f t="shared" si="13"/>
        <v/>
      </c>
      <c r="AN23" s="6" t="str">
        <f t="shared" si="14"/>
        <v/>
      </c>
      <c r="AV23" s="16" t="str">
        <f t="shared" si="15"/>
        <v/>
      </c>
      <c r="AY23" s="16" t="str">
        <f t="shared" si="16"/>
        <v/>
      </c>
      <c r="AZ23" s="16" t="str">
        <f t="shared" si="17"/>
        <v/>
      </c>
      <c r="BB23" s="19" t="str">
        <f t="shared" si="18"/>
        <v/>
      </c>
      <c r="BC23" s="19" t="str">
        <f t="shared" si="19"/>
        <v/>
      </c>
      <c r="BD23" s="19" t="str">
        <f t="shared" si="20"/>
        <v/>
      </c>
      <c r="BE23" s="19" t="str">
        <f t="shared" si="21"/>
        <v/>
      </c>
      <c r="BG23" s="6" t="str">
        <f t="shared" si="22"/>
        <v/>
      </c>
      <c r="BH23" s="6" t="str">
        <f t="shared" si="23"/>
        <v/>
      </c>
      <c r="BL23" s="6" t="str">
        <f t="shared" si="24"/>
        <v/>
      </c>
      <c r="BM23" s="6" t="str">
        <f t="shared" si="25"/>
        <v/>
      </c>
    </row>
  </sheetData>
  <mergeCells count="11">
    <mergeCell ref="BA2:BE2"/>
    <mergeCell ref="AP2:AT2"/>
    <mergeCell ref="BF2:BJ2"/>
    <mergeCell ref="B2:E2"/>
    <mergeCell ref="BK2:BN2"/>
    <mergeCell ref="X2:AC2"/>
    <mergeCell ref="AL2:AO2"/>
    <mergeCell ref="J2:V2"/>
    <mergeCell ref="F2:I2"/>
    <mergeCell ref="AU2:AZ2"/>
    <mergeCell ref="AD2:AK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workbookViewId="0">
      <selection activeCell="D17" sqref="D17"/>
    </sheetView>
  </sheetViews>
  <sheetFormatPr defaultRowHeight="14.4" x14ac:dyDescent="0.3"/>
  <cols>
    <col min="2" max="2" width="14" customWidth="1"/>
    <col min="3" max="3" width="16" customWidth="1"/>
    <col min="4" max="4" width="28" customWidth="1"/>
    <col min="5" max="5" width="16" customWidth="1"/>
    <col min="6" max="6" width="22" customWidth="1"/>
  </cols>
  <sheetData>
    <row r="1" spans="1:6" x14ac:dyDescent="0.3">
      <c r="A1" s="20"/>
      <c r="B1" s="20" t="s">
        <v>100</v>
      </c>
      <c r="C1" s="20" t="s">
        <v>101</v>
      </c>
      <c r="D1" s="20" t="s">
        <v>15</v>
      </c>
      <c r="E1" s="20" t="s">
        <v>102</v>
      </c>
      <c r="F1" s="20" t="s">
        <v>103</v>
      </c>
    </row>
    <row r="2" spans="1:6" x14ac:dyDescent="0.3">
      <c r="A2" s="21"/>
      <c r="B2" s="21" t="s">
        <v>60</v>
      </c>
      <c r="C2" s="21" t="s">
        <v>104</v>
      </c>
      <c r="D2" s="21" t="s">
        <v>131</v>
      </c>
      <c r="E2" s="21" t="s">
        <v>105</v>
      </c>
      <c r="F2" s="21">
        <v>1500</v>
      </c>
    </row>
    <row r="3" spans="1:6" x14ac:dyDescent="0.3">
      <c r="A3" s="21"/>
      <c r="B3" s="21" t="s">
        <v>85</v>
      </c>
      <c r="C3" s="21" t="s">
        <v>106</v>
      </c>
      <c r="D3" s="21" t="s">
        <v>132</v>
      </c>
      <c r="E3" s="21" t="s">
        <v>107</v>
      </c>
      <c r="F3" s="21">
        <v>2300</v>
      </c>
    </row>
    <row r="4" spans="1:6" x14ac:dyDescent="0.3">
      <c r="A4" s="21"/>
      <c r="B4" s="21" t="s">
        <v>69</v>
      </c>
      <c r="C4" s="21" t="s">
        <v>108</v>
      </c>
      <c r="D4" s="21" t="s">
        <v>133</v>
      </c>
      <c r="E4" s="21" t="s">
        <v>109</v>
      </c>
      <c r="F4" s="21">
        <v>450</v>
      </c>
    </row>
    <row r="5" spans="1:6" x14ac:dyDescent="0.3">
      <c r="A5" s="21"/>
      <c r="B5" s="21" t="s">
        <v>71</v>
      </c>
      <c r="C5" s="21" t="s">
        <v>110</v>
      </c>
      <c r="D5" s="21" t="s">
        <v>134</v>
      </c>
      <c r="E5" s="21" t="s">
        <v>111</v>
      </c>
      <c r="F5" s="21">
        <v>3800</v>
      </c>
    </row>
    <row r="6" spans="1:6" x14ac:dyDescent="0.3">
      <c r="A6" s="21"/>
      <c r="B6" s="21" t="s">
        <v>88</v>
      </c>
      <c r="C6" s="21" t="s">
        <v>112</v>
      </c>
      <c r="D6" s="21" t="s">
        <v>135</v>
      </c>
      <c r="E6" s="21" t="s">
        <v>113</v>
      </c>
      <c r="F6" s="21">
        <v>1200</v>
      </c>
    </row>
    <row r="7" spans="1:6" x14ac:dyDescent="0.3">
      <c r="A7" s="21"/>
      <c r="B7" s="21" t="s">
        <v>77</v>
      </c>
      <c r="C7" s="21" t="s">
        <v>114</v>
      </c>
      <c r="D7" s="21" t="s">
        <v>136</v>
      </c>
      <c r="E7" s="21" t="s">
        <v>115</v>
      </c>
      <c r="F7" s="21">
        <v>2700</v>
      </c>
    </row>
    <row r="8" spans="1:6" x14ac:dyDescent="0.3">
      <c r="A8" s="21"/>
      <c r="B8" s="21" t="s">
        <v>90</v>
      </c>
      <c r="C8" s="21" t="s">
        <v>116</v>
      </c>
      <c r="D8" s="21" t="s">
        <v>137</v>
      </c>
      <c r="E8" s="21" t="s">
        <v>117</v>
      </c>
      <c r="F8" s="21">
        <v>980</v>
      </c>
    </row>
    <row r="9" spans="1:6" x14ac:dyDescent="0.3">
      <c r="A9" s="21"/>
      <c r="B9" s="21" t="s">
        <v>80</v>
      </c>
      <c r="C9" s="21" t="s">
        <v>118</v>
      </c>
      <c r="D9" s="21" t="s">
        <v>138</v>
      </c>
      <c r="E9" s="21" t="s">
        <v>119</v>
      </c>
      <c r="F9" s="21">
        <v>4100</v>
      </c>
    </row>
    <row r="10" spans="1:6" x14ac:dyDescent="0.3">
      <c r="A10" s="21"/>
      <c r="B10" s="21" t="s">
        <v>82</v>
      </c>
      <c r="C10" s="21" t="s">
        <v>120</v>
      </c>
      <c r="D10" s="21" t="s">
        <v>139</v>
      </c>
      <c r="E10" s="21" t="s">
        <v>121</v>
      </c>
      <c r="F10" s="21">
        <v>6500</v>
      </c>
    </row>
    <row r="11" spans="1:6" x14ac:dyDescent="0.3">
      <c r="A11" s="21"/>
      <c r="B11" s="21" t="s">
        <v>122</v>
      </c>
      <c r="C11" s="21" t="s">
        <v>123</v>
      </c>
      <c r="D11" s="21" t="s">
        <v>140</v>
      </c>
      <c r="E11" s="21" t="s">
        <v>124</v>
      </c>
      <c r="F11" s="21">
        <v>1750</v>
      </c>
    </row>
    <row r="12" spans="1:6" x14ac:dyDescent="0.3">
      <c r="A12" s="21"/>
      <c r="B12" s="21" t="s">
        <v>125</v>
      </c>
      <c r="C12" s="21" t="s">
        <v>126</v>
      </c>
      <c r="D12" s="21" t="s">
        <v>141</v>
      </c>
      <c r="E12" s="21" t="s">
        <v>127</v>
      </c>
      <c r="F12" s="21">
        <v>3200</v>
      </c>
    </row>
    <row r="13" spans="1:6" x14ac:dyDescent="0.3">
      <c r="A13" s="21"/>
      <c r="B13" s="21" t="s">
        <v>128</v>
      </c>
      <c r="C13" s="21" t="s">
        <v>129</v>
      </c>
      <c r="D13" s="21" t="s">
        <v>142</v>
      </c>
      <c r="E13" s="21" t="s">
        <v>130</v>
      </c>
      <c r="F13" s="21">
        <v>2150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Исполнение</vt:lpstr>
      <vt:lpstr>Справочник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churaev.vadim@gmail.com</cp:lastModifiedBy>
  <dcterms:created xsi:type="dcterms:W3CDTF">2026-06-03T14:59:23Z</dcterms:created>
  <dcterms:modified xsi:type="dcterms:W3CDTF">2026-06-03T15:09:44Z</dcterms:modified>
</cp:coreProperties>
</file>
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полнение" sheetId="1" state="visible" r:id="rId1"/>
    <sheet name="Справочн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5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D9D9D9"/>
      </patternFill>
    </fill>
    <fill>
      <patternFill patternType="solid">
        <fgColor rgb="00FFFF89"/>
      </patternFill>
    </fill>
    <fill>
      <patternFill patternType="solid">
        <fgColor rgb="0000B0F0"/>
      </patternFill>
    </fill>
    <fill>
      <patternFill patternType="solid">
        <fgColor rgb="00FE9C9C"/>
      </patternFill>
    </fill>
    <fill>
      <patternFill patternType="solid">
        <fgColor rgb="0094FE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9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165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3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165" fontId="4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3" fontId="4" fillId="6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1333500" cy="571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N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15" customWidth="1" min="3" max="3"/>
    <col width="5" customWidth="1" min="4" max="4"/>
    <col width="24" customWidth="1" min="5" max="5"/>
    <col width="13" customWidth="1" min="6" max="6"/>
    <col width="6" customWidth="1" min="7" max="7"/>
    <col width="8" customWidth="1" min="8" max="8"/>
    <col width="18" customWidth="1" min="9" max="9"/>
    <col width="13" customWidth="1" min="10" max="10"/>
    <col width="8" customWidth="1" min="11" max="11"/>
    <col width="10" customWidth="1" min="12" max="12"/>
    <col width="10" customWidth="1" min="13" max="13"/>
    <col width="10" customWidth="1" min="14" max="14"/>
    <col width="8" customWidth="1" min="15" max="15"/>
    <col width="18" customWidth="1" min="16" max="16"/>
    <col width="24" customWidth="1" min="17" max="17"/>
    <col width="8" customWidth="1" min="18" max="18"/>
    <col width="8" customWidth="1" min="19" max="19"/>
    <col width="12" customWidth="1" min="20" max="20"/>
    <col width="8" customWidth="1" min="21" max="21"/>
    <col width="16" customWidth="1" min="22" max="22"/>
    <col width="28" customWidth="1" min="23" max="23"/>
    <col width="13" customWidth="1" min="24" max="24"/>
    <col width="8" customWidth="1" min="25" max="25"/>
    <col width="16" customWidth="1" min="26" max="26"/>
    <col width="13" customWidth="1" min="27" max="27"/>
    <col width="8" customWidth="1" min="28" max="28"/>
    <col width="16" customWidth="1" min="29" max="29"/>
    <col width="13" customWidth="1" min="30" max="30"/>
    <col width="8" customWidth="1" min="31" max="31"/>
    <col width="14" customWidth="1" min="32" max="32"/>
    <col width="8" customWidth="1" min="33" max="33"/>
    <col width="16" customWidth="1" min="34" max="34"/>
    <col width="13" customWidth="1" min="35" max="35"/>
    <col width="8" customWidth="1" min="36" max="36"/>
    <col width="16" customWidth="1" min="37" max="37"/>
    <col width="13" customWidth="1" min="38" max="38"/>
    <col width="8" customWidth="1" min="39" max="39"/>
    <col width="16" customWidth="1" min="40" max="40"/>
    <col width="14" customWidth="1" min="41" max="41"/>
    <col width="13" customWidth="1" min="42" max="42"/>
    <col width="10" customWidth="1" min="43" max="43"/>
    <col width="8" customWidth="1" min="44" max="44"/>
    <col width="12" customWidth="1" min="45" max="45"/>
    <col width="22" customWidth="1" min="46" max="46"/>
    <col width="13" customWidth="1" min="47" max="47"/>
    <col width="8" customWidth="1" min="48" max="48"/>
    <col width="10" customWidth="1" min="49" max="49"/>
    <col width="14" customWidth="1" min="50" max="50"/>
    <col width="10" customWidth="1" min="51" max="51"/>
    <col width="13" customWidth="1" min="52" max="52"/>
    <col width="13" customWidth="1" min="53" max="53"/>
    <col width="8" customWidth="1" min="54" max="54"/>
    <col width="16" customWidth="1" min="55" max="55"/>
    <col width="8" customWidth="1" min="56" max="56"/>
    <col width="16" customWidth="1" min="57" max="57"/>
    <col width="13" customWidth="1" min="58" max="58"/>
    <col width="8" customWidth="1" min="59" max="59"/>
    <col width="16" customWidth="1" min="60" max="60"/>
    <col width="16" customWidth="1" min="61" max="61"/>
    <col width="8" customWidth="1" min="62" max="62"/>
    <col width="13" customWidth="1" min="63" max="63"/>
    <col width="8" customWidth="1" min="64" max="64"/>
    <col width="24" customWidth="1" min="65" max="65"/>
    <col width="22" customWidth="1" min="66" max="66"/>
  </cols>
  <sheetData>
    <row r="2" ht="36" customHeight="1">
      <c r="B2" s="1" t="inlineStr">
        <is>
          <t>Основные данные</t>
        </is>
      </c>
      <c r="F2" s="2" t="inlineStr">
        <is>
          <t>Балансовая стоимость</t>
        </is>
      </c>
      <c r="J2" s="1" t="inlineStr">
        <is>
          <t>Финансово-экономический анализ</t>
        </is>
      </c>
      <c r="W2" s="1" t="inlineStr">
        <is>
          <t>Наименование</t>
        </is>
      </c>
      <c r="X2" s="1" t="inlineStr">
        <is>
          <t>Данные поступления в реестр</t>
        </is>
      </c>
      <c r="AD2" s="1" t="inlineStr">
        <is>
          <t>Согласование</t>
        </is>
      </c>
      <c r="AL2" s="1" t="inlineStr">
        <is>
          <t>Оплата</t>
        </is>
      </c>
      <c r="AP2" s="3" t="inlineStr">
        <is>
          <t>АКТ / Факт</t>
        </is>
      </c>
      <c r="AU2" s="4" t="inlineStr">
        <is>
          <t>Связка с ЦФУ</t>
        </is>
      </c>
      <c r="BA2" s="5" t="inlineStr">
        <is>
          <t>Связка ОФЗ</t>
        </is>
      </c>
      <c r="BF2" s="1" t="inlineStr">
        <is>
          <t>Страхование</t>
        </is>
      </c>
      <c r="BK2" s="1" t="inlineStr">
        <is>
          <t>Закрытие</t>
        </is>
      </c>
    </row>
    <row r="3" ht="52" customHeight="1">
      <c r="B3" s="1" t="inlineStr">
        <is>
          <t>№ п/п</t>
        </is>
      </c>
      <c r="C3" s="1" t="inlineStr">
        <is>
          <t>Код позиции (группы) КС</t>
        </is>
      </c>
      <c r="D3" s="1" t="inlineStr">
        <is>
          <t>№</t>
        </is>
      </c>
      <c r="E3" s="1" t="inlineStr">
        <is>
          <t>Наименование исполнителя</t>
        </is>
      </c>
      <c r="F3" s="2" t="inlineStr">
        <is>
          <t>Дата поступления</t>
        </is>
      </c>
      <c r="G3" s="2" t="inlineStr">
        <is>
          <t>Признак №</t>
        </is>
      </c>
      <c r="H3" s="2" t="inlineStr">
        <is>
          <t>Признак ненаступления</t>
        </is>
      </c>
      <c r="I3" s="2" t="inlineStr">
        <is>
          <t>№ договора (в работе)</t>
        </is>
      </c>
      <c r="J3" s="1" t="inlineStr">
        <is>
          <t>Дата закрытия</t>
        </is>
      </c>
      <c r="K3" s="1" t="inlineStr">
        <is>
          <t>№ в реестре</t>
        </is>
      </c>
      <c r="L3" s="1" t="inlineStr">
        <is>
          <t>Итого после связки</t>
        </is>
      </c>
      <c r="M3" s="1" t="inlineStr">
        <is>
          <t>Итого остаток</t>
        </is>
      </c>
      <c r="N3" s="1" t="inlineStr">
        <is>
          <t>Остаток по позиции</t>
        </is>
      </c>
      <c r="O3" s="1" t="inlineStr">
        <is>
          <t>Сдано КС</t>
        </is>
      </c>
      <c r="P3" s="1" t="inlineStr">
        <is>
          <t>№ договора при закрытии</t>
        </is>
      </c>
      <c r="Q3" s="1" t="inlineStr">
        <is>
          <t>Наименование исполнителя при закрытии</t>
        </is>
      </c>
      <c r="R3" s="1" t="inlineStr">
        <is>
          <t>Тип лимита позиции</t>
        </is>
      </c>
      <c r="S3" s="1" t="inlineStr">
        <is>
          <t>% исполнения по позиции</t>
        </is>
      </c>
      <c r="T3" s="1" t="inlineStr">
        <is>
          <t>Тип работ</t>
        </is>
      </c>
      <c r="U3" s="1" t="inlineStr">
        <is>
          <t>КАД</t>
        </is>
      </c>
      <c r="V3" s="1" t="inlineStr">
        <is>
          <t>ИНН исполнителя (позиции) КС</t>
        </is>
      </c>
      <c r="W3" s="1" t="inlineStr">
        <is>
          <t>Наименование объекта</t>
        </is>
      </c>
      <c r="X3" s="1" t="inlineStr">
        <is>
          <t>Дата поступления на СФ в 1С</t>
        </is>
      </c>
      <c r="Y3" s="1" t="inlineStr">
        <is>
          <t>КАД-СФ</t>
        </is>
      </c>
      <c r="Z3" s="1" t="inlineStr">
        <is>
          <t>ИНН исполнителя</t>
        </is>
      </c>
      <c r="AA3" s="1" t="inlineStr">
        <is>
          <t>Дата решения по СФ (позиция)</t>
        </is>
      </c>
      <c r="AB3" s="1" t="inlineStr">
        <is>
          <t>КАД</t>
        </is>
      </c>
      <c r="AC3" s="1" t="inlineStr">
        <is>
          <t>ИНН исполнителя</t>
        </is>
      </c>
      <c r="AD3" s="1" t="inlineStr">
        <is>
          <t>Дата согласования</t>
        </is>
      </c>
      <c r="AE3" s="1" t="inlineStr">
        <is>
          <t>КАД</t>
        </is>
      </c>
      <c r="AF3" s="1" t="inlineStr">
        <is>
          <t>Признак подписания</t>
        </is>
      </c>
      <c r="AG3" s="1" t="inlineStr">
        <is>
          <t>КАД (в экспертизе)</t>
        </is>
      </c>
      <c r="AH3" s="1" t="inlineStr">
        <is>
          <t>ИНН исполнителя</t>
        </is>
      </c>
      <c r="AI3" s="1" t="inlineStr">
        <is>
          <t>Дата экспертизы</t>
        </is>
      </c>
      <c r="AJ3" s="1" t="inlineStr">
        <is>
          <t>КАД</t>
        </is>
      </c>
      <c r="AK3" s="1" t="inlineStr">
        <is>
          <t>ИНН исполнителя</t>
        </is>
      </c>
      <c r="AL3" s="1" t="inlineStr">
        <is>
          <t>Дата оплаты</t>
        </is>
      </c>
      <c r="AM3" s="1" t="inlineStr">
        <is>
          <t>Признак оплаты</t>
        </is>
      </c>
      <c r="AN3" s="1" t="inlineStr">
        <is>
          <t>ИНН при оплате</t>
        </is>
      </c>
      <c r="AO3" s="1" t="inlineStr">
        <is>
          <t>Примечание</t>
        </is>
      </c>
      <c r="AP3" s="3" t="inlineStr">
        <is>
          <t>Дата поступления</t>
        </is>
      </c>
      <c r="AQ3" s="3" t="inlineStr">
        <is>
          <t>№ документа</t>
        </is>
      </c>
      <c r="AR3" s="3" t="inlineStr">
        <is>
          <t>Флаг завершения</t>
        </is>
      </c>
      <c r="AS3" s="3" t="inlineStr">
        <is>
          <t>Сумма, тыс руб</t>
        </is>
      </c>
      <c r="AT3" s="3" t="inlineStr">
        <is>
          <t>Примечание к факту</t>
        </is>
      </c>
      <c r="AU3" s="4" t="inlineStr">
        <is>
          <t>Дата поступления</t>
        </is>
      </c>
      <c r="AV3" s="4" t="inlineStr">
        <is>
          <t>КАД-СФ</t>
        </is>
      </c>
      <c r="AW3" s="4" t="inlineStr">
        <is>
          <t>Признак исполнения</t>
        </is>
      </c>
      <c r="AX3" s="4" t="inlineStr">
        <is>
          <t>Сумма связки с ЦФУ, тыс</t>
        </is>
      </c>
      <c r="AY3" s="4" t="inlineStr">
        <is>
          <t>Итого связка</t>
        </is>
      </c>
      <c r="AZ3" s="4" t="inlineStr">
        <is>
          <t>Дата связки</t>
        </is>
      </c>
      <c r="BA3" s="5" t="inlineStr">
        <is>
          <t>Дата поступления ОФЗ</t>
        </is>
      </c>
      <c r="BB3" s="5" t="inlineStr">
        <is>
          <t>КАД-СФ</t>
        </is>
      </c>
      <c r="BC3" s="5" t="inlineStr">
        <is>
          <t>ИНН исполнителя</t>
        </is>
      </c>
      <c r="BD3" s="5" t="inlineStr">
        <is>
          <t>КАД</t>
        </is>
      </c>
      <c r="BE3" s="5" t="inlineStr">
        <is>
          <t>ИНН исполнителя ОФЗ</t>
        </is>
      </c>
      <c r="BF3" s="1" t="inlineStr">
        <is>
          <t>Дата поступления</t>
        </is>
      </c>
      <c r="BG3" s="1" t="inlineStr">
        <is>
          <t>КАД</t>
        </is>
      </c>
      <c r="BH3" s="1" t="inlineStr">
        <is>
          <t>ИНН исполнителя</t>
        </is>
      </c>
      <c r="BI3" s="1" t="inlineStr">
        <is>
          <t>ИНН страхования</t>
        </is>
      </c>
      <c r="BJ3" s="1" t="inlineStr">
        <is>
          <t>% исполнения страх.</t>
        </is>
      </c>
      <c r="BK3" s="1" t="inlineStr">
        <is>
          <t>Дата поступления</t>
        </is>
      </c>
      <c r="BL3" s="1" t="inlineStr">
        <is>
          <t>КАД-СФ</t>
        </is>
      </c>
      <c r="BM3" s="1" t="inlineStr">
        <is>
          <t>Тип завершения</t>
        </is>
      </c>
      <c r="BN3" s="1" t="inlineStr">
        <is>
          <t>Примечание к закрытию</t>
        </is>
      </c>
    </row>
    <row r="4">
      <c r="B4" s="6" t="n">
        <v>6</v>
      </c>
      <c r="C4" s="6" t="inlineStr">
        <is>
          <t>К 28.48.05</t>
        </is>
      </c>
      <c r="D4" s="6">
        <f>IF(C4="","",1)</f>
        <v/>
      </c>
      <c r="E4" s="6">
        <f>IFERROR(VLOOKUP($C4,Справочник!$B$2:$F$13,3),"")</f>
        <v/>
      </c>
      <c r="F4" s="7" t="n">
        <v>44975</v>
      </c>
      <c r="G4" s="6">
        <f>IF(AND(C4&gt;0,J4="",AR4=""),1,"")</f>
        <v/>
      </c>
      <c r="I4" s="6">
        <f>IF(AND(F4&gt;0,J4="",AR4=""),IFERROR(VLOOKUP($C4,Справочник!$B$2:$F$13,2),""),"")</f>
        <v/>
      </c>
      <c r="J4" s="7" t="n">
        <v>44984</v>
      </c>
      <c r="K4" s="6" t="n">
        <v>6</v>
      </c>
      <c r="O4" s="6">
        <f>IF(J4="","",D4)</f>
        <v/>
      </c>
      <c r="P4" s="6">
        <f>IF(J4&gt;0,IFERROR(VLOOKUP($C4,Справочник!$B$2:$F$13,2),""),"")</f>
        <v/>
      </c>
      <c r="Q4" s="6">
        <f>IF(J4&gt;0,E4,"")</f>
        <v/>
      </c>
      <c r="R4" s="6" t="inlineStr">
        <is>
          <t>КС</t>
        </is>
      </c>
      <c r="S4" s="8" t="n">
        <v>1</v>
      </c>
      <c r="T4" s="9" t="inlineStr">
        <is>
          <t>Подряд КС</t>
        </is>
      </c>
      <c r="V4" s="6">
        <f>IFERROR(VLOOKUP($C4,Справочник!$B$2:$F$13,4),"")</f>
        <v/>
      </c>
      <c r="W4" s="10" t="inlineStr">
        <is>
          <t>Ремонт кровли корпуса А</t>
        </is>
      </c>
      <c r="X4" s="7" t="n">
        <v>44987</v>
      </c>
      <c r="Y4" s="6">
        <f>IF(X4="","",O4)</f>
        <v/>
      </c>
      <c r="Z4" s="6">
        <f>IF(X4&gt;0,E4,"")</f>
        <v/>
      </c>
      <c r="AA4" s="7" t="n">
        <v>44987</v>
      </c>
      <c r="AB4" s="6">
        <f>IF(AND(AA4&gt;0,AD4="",AR4=""),Y4,"")</f>
        <v/>
      </c>
      <c r="AC4" s="6">
        <f>IF(AND(AA4&gt;0,AD4="",AR4=""),Z4,"")</f>
        <v/>
      </c>
      <c r="AD4" s="7" t="n">
        <v>44988</v>
      </c>
      <c r="AE4" s="6">
        <f>IF(AD4="","",Y4)</f>
        <v/>
      </c>
      <c r="AF4" s="6" t="inlineStr">
        <is>
          <t>Подписан КС</t>
        </is>
      </c>
      <c r="AG4" s="6">
        <f>IF(AND(AD4&gt;0,AI4="",AR4=""),Y4,"")</f>
        <v/>
      </c>
      <c r="AH4" s="6">
        <f>IF(AND(AD4&gt;0,AI4="",AR4=""),Z4,"")</f>
        <v/>
      </c>
      <c r="AI4" s="7" t="n">
        <v>44989</v>
      </c>
      <c r="AJ4" s="6">
        <f>IF(AND(AI4&gt;0,AL4="",AR4=""),Y4,"")</f>
        <v/>
      </c>
      <c r="AK4" s="6">
        <f>IF(AND(AI4&gt;0,AL4="",AR4=""),Z4,"")</f>
        <v/>
      </c>
      <c r="AM4" s="6">
        <f>IF(AND(AL4&gt;0,AR4="",AU4=""),D4,"")</f>
        <v/>
      </c>
      <c r="AN4" s="6">
        <f>IF(AND(AL4&gt;0,AP4="",AR4=""),Z4,"")</f>
        <v/>
      </c>
      <c r="AP4" s="11" t="n">
        <v>45253</v>
      </c>
      <c r="AQ4" s="12" t="n">
        <v>118</v>
      </c>
      <c r="AR4" s="12" t="n">
        <v>1</v>
      </c>
      <c r="AS4" s="13" t="n">
        <v>2170</v>
      </c>
      <c r="AT4" s="14" t="inlineStr">
        <is>
          <t>По договору</t>
        </is>
      </c>
      <c r="AU4" s="15" t="n">
        <v>45314</v>
      </c>
      <c r="AV4" s="16">
        <f>IF(AU4="","",D4)</f>
        <v/>
      </c>
      <c r="AW4" s="16" t="inlineStr">
        <is>
          <t>по</t>
        </is>
      </c>
      <c r="AX4" s="17" t="n">
        <v>2170</v>
      </c>
      <c r="AY4" s="16">
        <f>IF(AU4&gt;0,AX4,"")</f>
        <v/>
      </c>
      <c r="AZ4" s="15">
        <f>IF(AU4&gt;0,AU4,"")</f>
        <v/>
      </c>
      <c r="BA4" s="18" t="n">
        <v>45327</v>
      </c>
      <c r="BB4" s="19">
        <f>IF(BA4="","",O4)</f>
        <v/>
      </c>
      <c r="BC4" s="19">
        <f>IF(BA4&gt;0,E4,"")</f>
        <v/>
      </c>
      <c r="BD4" s="19">
        <f>IF(AND(BA4&gt;0,BF4="",AR4=""),BB4,"")</f>
        <v/>
      </c>
      <c r="BE4" s="19">
        <f>IF(BD4="","",E4)</f>
        <v/>
      </c>
      <c r="BG4" s="6">
        <f>IF(AND(BF4&gt;0,BK4="",AR4=""),BB4,"")</f>
        <v/>
      </c>
      <c r="BH4" s="6">
        <f>IF(BG4="","",E4)</f>
        <v/>
      </c>
      <c r="BK4" s="7" t="n">
        <v>45352</v>
      </c>
      <c r="BL4" s="6">
        <f>IF(BK4="","",D4)</f>
        <v/>
      </c>
      <c r="BM4" s="6">
        <f>IF(BK4&gt;0,Q4,"")</f>
        <v/>
      </c>
      <c r="BN4" s="9" t="inlineStr">
        <is>
          <t>Сопроводительное по КС</t>
        </is>
      </c>
    </row>
    <row r="5">
      <c r="B5" s="6" t="n">
        <v>7</v>
      </c>
      <c r="C5" s="6" t="inlineStr">
        <is>
          <t>К 28.48.05</t>
        </is>
      </c>
      <c r="D5" s="6">
        <f>IF(C5="","",1)</f>
        <v/>
      </c>
      <c r="E5" s="6">
        <f>IFERROR(VLOOKUP($C5,Справочник!$B$2:$F$13,3),"")</f>
        <v/>
      </c>
      <c r="F5" s="7" t="n">
        <v>44975</v>
      </c>
      <c r="G5" s="6">
        <f>IF(AND(C5&gt;0,J5="",AR5=""),1,"")</f>
        <v/>
      </c>
      <c r="I5" s="6">
        <f>IF(AND(F5&gt;0,J5="",AR5=""),IFERROR(VLOOKUP($C5,Справочник!$B$2:$F$13,2),""),"")</f>
        <v/>
      </c>
      <c r="J5" s="7" t="n">
        <v>44984</v>
      </c>
      <c r="K5" s="6" t="n">
        <v>7</v>
      </c>
      <c r="O5" s="6">
        <f>IF(J5="","",D5)</f>
        <v/>
      </c>
      <c r="P5" s="6">
        <f>IF(J5&gt;0,IFERROR(VLOOKUP($C5,Справочник!$B$2:$F$13,2),""),"")</f>
        <v/>
      </c>
      <c r="Q5" s="6">
        <f>IF(J5&gt;0,E5,"")</f>
        <v/>
      </c>
      <c r="R5" s="6" t="inlineStr">
        <is>
          <t>КС</t>
        </is>
      </c>
      <c r="S5" s="8" t="n">
        <v>1</v>
      </c>
      <c r="T5" s="9" t="inlineStr">
        <is>
          <t>Подряд КС</t>
        </is>
      </c>
      <c r="V5" s="6">
        <f>IFERROR(VLOOKUP($C5,Справочник!$B$2:$F$13,4),"")</f>
        <v/>
      </c>
      <c r="W5" s="10" t="inlineStr">
        <is>
          <t>Замена окон корпуса А</t>
        </is>
      </c>
      <c r="X5" s="7" t="n">
        <v>44987</v>
      </c>
      <c r="Y5" s="6">
        <f>IF(X5="","",O5)</f>
        <v/>
      </c>
      <c r="Z5" s="6">
        <f>IF(X5&gt;0,E5,"")</f>
        <v/>
      </c>
      <c r="AA5" s="7" t="n">
        <v>44987</v>
      </c>
      <c r="AB5" s="6">
        <f>IF(AND(AA5&gt;0,AD5="",AR5=""),Y5,"")</f>
        <v/>
      </c>
      <c r="AC5" s="6">
        <f>IF(AND(AA5&gt;0,AD5="",AR5=""),Z5,"")</f>
        <v/>
      </c>
      <c r="AD5" s="7" t="n">
        <v>44988</v>
      </c>
      <c r="AE5" s="6">
        <f>IF(AD5="","",Y5)</f>
        <v/>
      </c>
      <c r="AF5" s="6" t="inlineStr">
        <is>
          <t>Подписан КС</t>
        </is>
      </c>
      <c r="AG5" s="6">
        <f>IF(AND(AD5&gt;0,AI5="",AR5=""),Y5,"")</f>
        <v/>
      </c>
      <c r="AH5" s="6">
        <f>IF(AND(AD5&gt;0,AI5="",AR5=""),Z5,"")</f>
        <v/>
      </c>
      <c r="AI5" s="7" t="n">
        <v>44989</v>
      </c>
      <c r="AJ5" s="6">
        <f>IF(AND(AI5&gt;0,AL5="",AR5=""),Y5,"")</f>
        <v/>
      </c>
      <c r="AK5" s="6">
        <f>IF(AND(AI5&gt;0,AL5="",AR5=""),Z5,"")</f>
        <v/>
      </c>
      <c r="AM5" s="6">
        <f>IF(AND(AL5&gt;0,AR5="",AU5=""),D5,"")</f>
        <v/>
      </c>
      <c r="AN5" s="6">
        <f>IF(AND(AL5&gt;0,AP5="",AR5=""),Z5,"")</f>
        <v/>
      </c>
      <c r="AP5" s="11" t="n">
        <v>45253</v>
      </c>
      <c r="AQ5" s="12" t="n">
        <v>119</v>
      </c>
      <c r="AR5" s="12" t="n">
        <v>1</v>
      </c>
      <c r="AS5" s="13" t="n">
        <v>2190</v>
      </c>
      <c r="AT5" s="14" t="inlineStr">
        <is>
          <t>По договору</t>
        </is>
      </c>
      <c r="AU5" s="15" t="n">
        <v>45314</v>
      </c>
      <c r="AV5" s="16">
        <f>IF(AU5="","",D5)</f>
        <v/>
      </c>
      <c r="AW5" s="16" t="inlineStr">
        <is>
          <t>по</t>
        </is>
      </c>
      <c r="AX5" s="17" t="n">
        <v>2190</v>
      </c>
      <c r="AY5" s="16">
        <f>IF(AU5&gt;0,AX5,"")</f>
        <v/>
      </c>
      <c r="AZ5" s="15">
        <f>IF(AU5&gt;0,AU5,"")</f>
        <v/>
      </c>
      <c r="BA5" s="18" t="n">
        <v>45327</v>
      </c>
      <c r="BB5" s="19">
        <f>IF(BA5="","",O5)</f>
        <v/>
      </c>
      <c r="BC5" s="19">
        <f>IF(BA5&gt;0,E5,"")</f>
        <v/>
      </c>
      <c r="BD5" s="19">
        <f>IF(AND(BA5&gt;0,BF5="",AR5=""),BB5,"")</f>
        <v/>
      </c>
      <c r="BE5" s="19">
        <f>IF(BD5="","",E5)</f>
        <v/>
      </c>
      <c r="BG5" s="6">
        <f>IF(AND(BF5&gt;0,BK5="",AR5=""),BB5,"")</f>
        <v/>
      </c>
      <c r="BH5" s="6">
        <f>IF(BG5="","",E5)</f>
        <v/>
      </c>
      <c r="BK5" s="7" t="n">
        <v>45352</v>
      </c>
      <c r="BL5" s="6">
        <f>IF(BK5="","",D5)</f>
        <v/>
      </c>
      <c r="BM5" s="6">
        <f>IF(BK5&gt;0,Q5,"")</f>
        <v/>
      </c>
      <c r="BN5" s="9" t="inlineStr">
        <is>
          <t>Сопроводительное по КС</t>
        </is>
      </c>
    </row>
    <row r="6">
      <c r="B6" s="6" t="n">
        <v>13</v>
      </c>
      <c r="C6" s="6" t="inlineStr">
        <is>
          <t>К 26.45.07</t>
        </is>
      </c>
      <c r="D6" s="6">
        <f>IF(C6="","",1)</f>
        <v/>
      </c>
      <c r="E6" s="6">
        <f>IFERROR(VLOOKUP($C6,Справочник!$B$2:$F$13,3),"")</f>
        <v/>
      </c>
      <c r="F6" s="7" t="n">
        <v>44982</v>
      </c>
      <c r="G6" s="6">
        <f>IF(AND(C6&gt;0,J6="",AR6=""),1,"")</f>
        <v/>
      </c>
      <c r="I6" s="6">
        <f>IF(AND(F6&gt;0,J6="",AR6=""),IFERROR(VLOOKUP($C6,Справочник!$B$2:$F$13,2),""),"")</f>
        <v/>
      </c>
      <c r="J6" s="7" t="n">
        <v>44990</v>
      </c>
      <c r="K6" s="6" t="n">
        <v>13</v>
      </c>
      <c r="O6" s="6">
        <f>IF(J6="","",D6)</f>
        <v/>
      </c>
      <c r="P6" s="6">
        <f>IF(J6&gt;0,IFERROR(VLOOKUP($C6,Справочник!$B$2:$F$13,2),""),"")</f>
        <v/>
      </c>
      <c r="Q6" s="6">
        <f>IF(J6&gt;0,E6,"")</f>
        <v/>
      </c>
      <c r="R6" s="6" t="inlineStr">
        <is>
          <t>КС</t>
        </is>
      </c>
      <c r="S6" s="8" t="n">
        <v>1</v>
      </c>
      <c r="T6" s="9" t="inlineStr">
        <is>
          <t>Подряд КС</t>
        </is>
      </c>
      <c r="V6" s="6">
        <f>IFERROR(VLOOKUP($C6,Справочник!$B$2:$F$13,4),"")</f>
        <v/>
      </c>
      <c r="W6" s="10" t="inlineStr">
        <is>
          <t>Установка оборудования</t>
        </is>
      </c>
      <c r="X6" s="7" t="n">
        <v>44992</v>
      </c>
      <c r="Y6" s="6">
        <f>IF(X6="","",O6)</f>
        <v/>
      </c>
      <c r="Z6" s="6">
        <f>IF(X6&gt;0,E6,"")</f>
        <v/>
      </c>
      <c r="AA6" s="7" t="n">
        <v>44992</v>
      </c>
      <c r="AB6" s="6">
        <f>IF(AND(AA6&gt;0,AD6="",AR6=""),Y6,"")</f>
        <v/>
      </c>
      <c r="AC6" s="6">
        <f>IF(AND(AA6&gt;0,AD6="",AR6=""),Z6,"")</f>
        <v/>
      </c>
      <c r="AD6" s="7" t="n">
        <v>44993</v>
      </c>
      <c r="AE6" s="6">
        <f>IF(AD6="","",Y6)</f>
        <v/>
      </c>
      <c r="AF6" s="6" t="inlineStr">
        <is>
          <t>Подписан КС</t>
        </is>
      </c>
      <c r="AG6" s="6">
        <f>IF(AND(AD6&gt;0,AI6="",AR6=""),Y6,"")</f>
        <v/>
      </c>
      <c r="AH6" s="6">
        <f>IF(AND(AD6&gt;0,AI6="",AR6=""),Z6,"")</f>
        <v/>
      </c>
      <c r="AI6" s="7" t="n">
        <v>44995</v>
      </c>
      <c r="AJ6" s="6">
        <f>IF(AND(AI6&gt;0,AL6="",AR6=""),Y6,"")</f>
        <v/>
      </c>
      <c r="AK6" s="6">
        <f>IF(AND(AI6&gt;0,AL6="",AR6=""),Z6,"")</f>
        <v/>
      </c>
      <c r="AM6" s="6">
        <f>IF(AND(AL6&gt;0,AR6="",AU6=""),D6,"")</f>
        <v/>
      </c>
      <c r="AN6" s="6">
        <f>IF(AND(AL6&gt;0,AP6="",AR6=""),Z6,"")</f>
        <v/>
      </c>
      <c r="AP6" s="11" t="n">
        <v>45275</v>
      </c>
      <c r="AQ6" s="12" t="n">
        <v>95</v>
      </c>
      <c r="AR6" s="12" t="n">
        <v>1</v>
      </c>
      <c r="AS6" s="13" t="n">
        <v>450</v>
      </c>
      <c r="AT6" s="14" t="inlineStr">
        <is>
          <t>По договору</t>
        </is>
      </c>
      <c r="AU6" s="15" t="n">
        <v>45352</v>
      </c>
      <c r="AV6" s="16">
        <f>IF(AU6="","",D6)</f>
        <v/>
      </c>
      <c r="AW6" s="16" t="inlineStr">
        <is>
          <t>по</t>
        </is>
      </c>
      <c r="AX6" s="17" t="n">
        <v>450</v>
      </c>
      <c r="AY6" s="16">
        <f>IF(AU6&gt;0,AX6,"")</f>
        <v/>
      </c>
      <c r="AZ6" s="15">
        <f>IF(AU6&gt;0,AU6,"")</f>
        <v/>
      </c>
      <c r="BB6" s="19">
        <f>IF(BA6="","",O6)</f>
        <v/>
      </c>
      <c r="BC6" s="19">
        <f>IF(BA6&gt;0,E6,"")</f>
        <v/>
      </c>
      <c r="BD6" s="19">
        <f>IF(AND(BA6&gt;0,BF6="",AR6=""),BB6,"")</f>
        <v/>
      </c>
      <c r="BE6" s="19">
        <f>IF(BD6="","",E6)</f>
        <v/>
      </c>
      <c r="BG6" s="6">
        <f>IF(AND(BF6&gt;0,BK6="",AR6=""),BB6,"")</f>
        <v/>
      </c>
      <c r="BH6" s="6">
        <f>IF(BG6="","",E6)</f>
        <v/>
      </c>
      <c r="BK6" s="7" t="n">
        <v>45392</v>
      </c>
      <c r="BL6" s="6">
        <f>IF(BK6="","",D6)</f>
        <v/>
      </c>
      <c r="BM6" s="6">
        <f>IF(BK6&gt;0,Q6,"")</f>
        <v/>
      </c>
      <c r="BN6" s="9" t="inlineStr">
        <is>
          <t>Сопроводительное по КС</t>
        </is>
      </c>
    </row>
    <row r="7">
      <c r="B7" s="6" t="n">
        <v>21</v>
      </c>
      <c r="C7" s="6" t="inlineStr">
        <is>
          <t>ФЗ 38.27.10</t>
        </is>
      </c>
      <c r="D7" s="6">
        <f>IF(C7="","",1)</f>
        <v/>
      </c>
      <c r="E7" s="6">
        <f>IFERROR(VLOOKUP($C7,Справочник!$B$2:$F$13,3),"")</f>
        <v/>
      </c>
      <c r="F7" s="7" t="n">
        <v>44986</v>
      </c>
      <c r="G7" s="6">
        <f>IF(AND(C7&gt;0,J7="",AR7=""),1,"")</f>
        <v/>
      </c>
      <c r="I7" s="6">
        <f>IF(AND(F7&gt;0,J7="",AR7=""),IFERROR(VLOOKUP($C7,Справочник!$B$2:$F$13,2),""),"")</f>
        <v/>
      </c>
      <c r="J7" s="7" t="n">
        <v>45005</v>
      </c>
      <c r="K7" s="6" t="n">
        <v>21</v>
      </c>
      <c r="O7" s="6">
        <f>IF(J7="","",D7)</f>
        <v/>
      </c>
      <c r="P7" s="6">
        <f>IF(J7&gt;0,IFERROR(VLOOKUP($C7,Справочник!$B$2:$F$13,2),""),"")</f>
        <v/>
      </c>
      <c r="Q7" s="6">
        <f>IF(J7&gt;0,E7,"")</f>
        <v/>
      </c>
      <c r="R7" s="6" t="inlineStr">
        <is>
          <t>ФЗ-44</t>
        </is>
      </c>
      <c r="S7" s="8" t="n">
        <v>1</v>
      </c>
      <c r="T7" s="9" t="inlineStr">
        <is>
          <t>Поставка</t>
        </is>
      </c>
      <c r="V7" s="6">
        <f>IFERROR(VLOOKUP($C7,Справочник!$B$2:$F$13,4),"")</f>
        <v/>
      </c>
      <c r="W7" s="10" t="inlineStr">
        <is>
          <t>Разработка программного модуля</t>
        </is>
      </c>
      <c r="X7" s="7" t="n">
        <v>45007</v>
      </c>
      <c r="Y7" s="6">
        <f>IF(X7="","",O7)</f>
        <v/>
      </c>
      <c r="Z7" s="6">
        <f>IF(X7&gt;0,E7,"")</f>
        <v/>
      </c>
      <c r="AA7" s="7" t="n">
        <v>45007</v>
      </c>
      <c r="AB7" s="6">
        <f>IF(AND(AA7&gt;0,AD7="",AR7=""),Y7,"")</f>
        <v/>
      </c>
      <c r="AC7" s="6">
        <f>IF(AND(AA7&gt;0,AD7="",AR7=""),Z7,"")</f>
        <v/>
      </c>
      <c r="AD7" s="7" t="n">
        <v>45008</v>
      </c>
      <c r="AE7" s="6">
        <f>IF(AD7="","",Y7)</f>
        <v/>
      </c>
      <c r="AF7" s="6" t="inlineStr">
        <is>
          <t>Подписан</t>
        </is>
      </c>
      <c r="AG7" s="6">
        <f>IF(AND(AD7&gt;0,AI7="",AR7=""),Y7,"")</f>
        <v/>
      </c>
      <c r="AH7" s="6">
        <f>IF(AND(AD7&gt;0,AI7="",AR7=""),Z7,"")</f>
        <v/>
      </c>
      <c r="AI7" s="7" t="n">
        <v>45010</v>
      </c>
      <c r="AJ7" s="6">
        <f>IF(AND(AI7&gt;0,AL7="",AR7=""),Y7,"")</f>
        <v/>
      </c>
      <c r="AK7" s="6">
        <f>IF(AND(AI7&gt;0,AL7="",AR7=""),Z7,"")</f>
        <v/>
      </c>
      <c r="AM7" s="6">
        <f>IF(AND(AL7&gt;0,AR7="",AU7=""),D7,"")</f>
        <v/>
      </c>
      <c r="AN7" s="6">
        <f>IF(AND(AL7&gt;0,AP7="",AR7=""),Z7,"")</f>
        <v/>
      </c>
      <c r="AP7" s="11" t="n">
        <v>45280</v>
      </c>
      <c r="AQ7" s="12" t="n">
        <v>102</v>
      </c>
      <c r="AR7" s="12" t="n">
        <v>1</v>
      </c>
      <c r="AS7" s="13" t="n">
        <v>3800</v>
      </c>
      <c r="AT7" s="14" t="inlineStr">
        <is>
          <t>Не предусмотрено договором</t>
        </is>
      </c>
      <c r="AU7" s="15" t="n">
        <v>45306</v>
      </c>
      <c r="AV7" s="16">
        <f>IF(AU7="","",D7)</f>
        <v/>
      </c>
      <c r="AW7" s="16" t="inlineStr">
        <is>
          <t>по</t>
        </is>
      </c>
      <c r="AX7" s="17" t="n">
        <v>3800</v>
      </c>
      <c r="AY7" s="16">
        <f>IF(AU7&gt;0,AX7,"")</f>
        <v/>
      </c>
      <c r="AZ7" s="15">
        <f>IF(AU7&gt;0,AU7,"")</f>
        <v/>
      </c>
      <c r="BA7" s="18" t="n">
        <v>45323</v>
      </c>
      <c r="BB7" s="19">
        <f>IF(BA7="","",O7)</f>
        <v/>
      </c>
      <c r="BC7" s="19">
        <f>IF(BA7&gt;0,E7,"")</f>
        <v/>
      </c>
      <c r="BD7" s="19">
        <f>IF(AND(BA7&gt;0,BF7="",AR7=""),BB7,"")</f>
        <v/>
      </c>
      <c r="BE7" s="19">
        <f>IF(BD7="","",E7)</f>
        <v/>
      </c>
      <c r="BG7" s="6">
        <f>IF(AND(BF7&gt;0,BK7="",AR7=""),BB7,"")</f>
        <v/>
      </c>
      <c r="BH7" s="6">
        <f>IF(BG7="","",E7)</f>
        <v/>
      </c>
      <c r="BL7" s="6">
        <f>IF(BK7="","",D7)</f>
        <v/>
      </c>
      <c r="BM7" s="6">
        <f>IF(BK7&gt;0,Q7,"")</f>
        <v/>
      </c>
    </row>
    <row r="8">
      <c r="B8" s="6" t="n">
        <v>23</v>
      </c>
      <c r="C8" s="6" t="inlineStr">
        <is>
          <t>ФЗ 38.27.08</t>
        </is>
      </c>
      <c r="D8" s="6">
        <f>IF(C8="","",1)</f>
        <v/>
      </c>
      <c r="E8" s="6">
        <f>IFERROR(VLOOKUP($C8,Справочник!$B$2:$F$13,3),"")</f>
        <v/>
      </c>
      <c r="F8" s="7" t="n">
        <v>44990</v>
      </c>
      <c r="G8" s="6">
        <f>IF(AND(C8&gt;0,J8="",AR8=""),1,"")</f>
        <v/>
      </c>
      <c r="I8" s="6">
        <f>IF(AND(F8&gt;0,J8="",AR8=""),IFERROR(VLOOKUP($C8,Справочник!$B$2:$F$13,2),""),"")</f>
        <v/>
      </c>
      <c r="J8" s="7" t="n">
        <v>45010</v>
      </c>
      <c r="K8" s="6" t="n">
        <v>23</v>
      </c>
      <c r="O8" s="6">
        <f>IF(J8="","",D8)</f>
        <v/>
      </c>
      <c r="P8" s="6">
        <f>IF(J8&gt;0,IFERROR(VLOOKUP($C8,Справочник!$B$2:$F$13,2),""),"")</f>
        <v/>
      </c>
      <c r="Q8" s="6">
        <f>IF(J8&gt;0,E8,"")</f>
        <v/>
      </c>
      <c r="R8" s="6" t="inlineStr">
        <is>
          <t>ФЗ-44</t>
        </is>
      </c>
      <c r="S8" s="8" t="n">
        <v>1</v>
      </c>
      <c r="T8" s="9" t="inlineStr">
        <is>
          <t>Услуги</t>
        </is>
      </c>
      <c r="V8" s="6">
        <f>IFERROR(VLOOKUP($C8,Справочник!$B$2:$F$13,4),"")</f>
        <v/>
      </c>
      <c r="W8" s="10" t="inlineStr">
        <is>
          <t>Сервисное обслуживание систем</t>
        </is>
      </c>
      <c r="X8" s="7" t="n">
        <v>45012</v>
      </c>
      <c r="Y8" s="6">
        <f>IF(X8="","",O8)</f>
        <v/>
      </c>
      <c r="Z8" s="6">
        <f>IF(X8&gt;0,E8,"")</f>
        <v/>
      </c>
      <c r="AA8" s="7" t="n">
        <v>45012</v>
      </c>
      <c r="AB8" s="6">
        <f>IF(AND(AA8&gt;0,AD8="",AR8=""),Y8,"")</f>
        <v/>
      </c>
      <c r="AC8" s="6">
        <f>IF(AND(AA8&gt;0,AD8="",AR8=""),Z8,"")</f>
        <v/>
      </c>
      <c r="AD8" s="7" t="n">
        <v>45013</v>
      </c>
      <c r="AE8" s="6">
        <f>IF(AD8="","",Y8)</f>
        <v/>
      </c>
      <c r="AF8" s="6" t="inlineStr">
        <is>
          <t>Подписан</t>
        </is>
      </c>
      <c r="AG8" s="6">
        <f>IF(AND(AD8&gt;0,AI8="",AR8=""),Y8,"")</f>
        <v/>
      </c>
      <c r="AH8" s="6">
        <f>IF(AND(AD8&gt;0,AI8="",AR8=""),Z8,"")</f>
        <v/>
      </c>
      <c r="AI8" s="7" t="n">
        <v>45015</v>
      </c>
      <c r="AJ8" s="6">
        <f>IF(AND(AI8&gt;0,AL8="",AR8=""),Y8,"")</f>
        <v/>
      </c>
      <c r="AK8" s="6">
        <f>IF(AND(AI8&gt;0,AL8="",AR8=""),Z8,"")</f>
        <v/>
      </c>
      <c r="AM8" s="6">
        <f>IF(AND(AL8&gt;0,AR8="",AU8=""),D8,"")</f>
        <v/>
      </c>
      <c r="AN8" s="6">
        <f>IF(AND(AL8&gt;0,AP8="",AR8=""),Z8,"")</f>
        <v/>
      </c>
      <c r="AP8" s="11" t="n">
        <v>45301</v>
      </c>
      <c r="AQ8" s="12" t="n">
        <v>77</v>
      </c>
      <c r="AR8" s="12" t="n">
        <v>1</v>
      </c>
      <c r="AS8" s="13" t="n">
        <v>2700</v>
      </c>
      <c r="AT8" s="14" t="inlineStr">
        <is>
          <t>По договору</t>
        </is>
      </c>
      <c r="AU8" s="15" t="n">
        <v>45332</v>
      </c>
      <c r="AV8" s="16">
        <f>IF(AU8="","",D8)</f>
        <v/>
      </c>
      <c r="AW8" s="16" t="inlineStr">
        <is>
          <t>по</t>
        </is>
      </c>
      <c r="AX8" s="17" t="n">
        <v>2700</v>
      </c>
      <c r="AY8" s="16">
        <f>IF(AU8&gt;0,AX8,"")</f>
        <v/>
      </c>
      <c r="AZ8" s="15">
        <f>IF(AU8&gt;0,AU8,"")</f>
        <v/>
      </c>
      <c r="BA8" s="18" t="n">
        <v>45352</v>
      </c>
      <c r="BB8" s="19">
        <f>IF(BA8="","",O8)</f>
        <v/>
      </c>
      <c r="BC8" s="19">
        <f>IF(BA8&gt;0,E8,"")</f>
        <v/>
      </c>
      <c r="BD8" s="19">
        <f>IF(AND(BA8&gt;0,BF8="",AR8=""),BB8,"")</f>
        <v/>
      </c>
      <c r="BE8" s="19">
        <f>IF(BD8="","",E8)</f>
        <v/>
      </c>
      <c r="BG8" s="6">
        <f>IF(AND(BF8&gt;0,BK8="",AR8=""),BB8,"")</f>
        <v/>
      </c>
      <c r="BH8" s="6">
        <f>IF(BG8="","",E8)</f>
        <v/>
      </c>
      <c r="BL8" s="6">
        <f>IF(BK8="","",D8)</f>
        <v/>
      </c>
      <c r="BM8" s="6">
        <f>IF(BK8&gt;0,Q8,"")</f>
        <v/>
      </c>
    </row>
    <row r="9">
      <c r="B9" s="6" t="n">
        <v>28</v>
      </c>
      <c r="C9" s="6" t="inlineStr">
        <is>
          <t>ФЗ 38.27.05</t>
        </is>
      </c>
      <c r="D9" s="6">
        <f>IF(C9="","",1)</f>
        <v/>
      </c>
      <c r="E9" s="6">
        <f>IFERROR(VLOOKUP($C9,Справочник!$B$2:$F$13,3),"")</f>
        <v/>
      </c>
      <c r="F9" s="7" t="n">
        <v>44995</v>
      </c>
      <c r="G9" s="6">
        <f>IF(AND(C9&gt;0,J9="",AR9=""),1,"")</f>
        <v/>
      </c>
      <c r="I9" s="6">
        <f>IF(AND(F9&gt;0,J9="",AR9=""),IFERROR(VLOOKUP($C9,Справочник!$B$2:$F$13,2),""),"")</f>
        <v/>
      </c>
      <c r="J9" s="7" t="n">
        <v>45021</v>
      </c>
      <c r="K9" s="6" t="n">
        <v>28</v>
      </c>
      <c r="O9" s="6">
        <f>IF(J9="","",D9)</f>
        <v/>
      </c>
      <c r="P9" s="6">
        <f>IF(J9&gt;0,IFERROR(VLOOKUP($C9,Справочник!$B$2:$F$13,2),""),"")</f>
        <v/>
      </c>
      <c r="Q9" s="6">
        <f>IF(J9&gt;0,E9,"")</f>
        <v/>
      </c>
      <c r="R9" s="6" t="inlineStr">
        <is>
          <t>ФЗ-44</t>
        </is>
      </c>
      <c r="S9" s="8" t="n">
        <v>1</v>
      </c>
      <c r="T9" s="9" t="inlineStr">
        <is>
          <t>Поставка</t>
        </is>
      </c>
      <c r="V9" s="6">
        <f>IFERROR(VLOOKUP($C9,Справочник!$B$2:$F$13,4),"")</f>
        <v/>
      </c>
      <c r="W9" s="10" t="inlineStr">
        <is>
          <t>Поставка серверного оборудования</t>
        </is>
      </c>
      <c r="X9" s="7" t="n">
        <v>45023</v>
      </c>
      <c r="Y9" s="6">
        <f>IF(X9="","",O9)</f>
        <v/>
      </c>
      <c r="Z9" s="6">
        <f>IF(X9&gt;0,E9,"")</f>
        <v/>
      </c>
      <c r="AA9" s="7" t="n">
        <v>45023</v>
      </c>
      <c r="AB9" s="6">
        <f>IF(AND(AA9&gt;0,AD9="",AR9=""),Y9,"")</f>
        <v/>
      </c>
      <c r="AC9" s="6">
        <f>IF(AND(AA9&gt;0,AD9="",AR9=""),Z9,"")</f>
        <v/>
      </c>
      <c r="AD9" s="7" t="n">
        <v>45024</v>
      </c>
      <c r="AE9" s="6">
        <f>IF(AD9="","",Y9)</f>
        <v/>
      </c>
      <c r="AF9" s="6" t="inlineStr">
        <is>
          <t>Подписан</t>
        </is>
      </c>
      <c r="AG9" s="6">
        <f>IF(AND(AD9&gt;0,AI9="",AR9=""),Y9,"")</f>
        <v/>
      </c>
      <c r="AH9" s="6">
        <f>IF(AND(AD9&gt;0,AI9="",AR9=""),Z9,"")</f>
        <v/>
      </c>
      <c r="AI9" s="7" t="n">
        <v>45026</v>
      </c>
      <c r="AJ9" s="6">
        <f>IF(AND(AI9&gt;0,AL9="",AR9=""),Y9,"")</f>
        <v/>
      </c>
      <c r="AK9" s="6">
        <f>IF(AND(AI9&gt;0,AL9="",AR9=""),Z9,"")</f>
        <v/>
      </c>
      <c r="AM9" s="6">
        <f>IF(AND(AL9&gt;0,AR9="",AU9=""),D9,"")</f>
        <v/>
      </c>
      <c r="AN9" s="6">
        <f>IF(AND(AL9&gt;0,AP9="",AR9=""),Z9,"")</f>
        <v/>
      </c>
      <c r="AP9" s="11" t="n">
        <v>45323</v>
      </c>
      <c r="AQ9" s="12" t="n">
        <v>88</v>
      </c>
      <c r="AR9" s="12" t="n">
        <v>1</v>
      </c>
      <c r="AS9" s="13" t="n">
        <v>4100</v>
      </c>
      <c r="AT9" s="14" t="inlineStr">
        <is>
          <t>По договору</t>
        </is>
      </c>
      <c r="AU9" s="15" t="n">
        <v>45356</v>
      </c>
      <c r="AV9" s="16">
        <f>IF(AU9="","",D9)</f>
        <v/>
      </c>
      <c r="AW9" s="16" t="inlineStr">
        <is>
          <t>по</t>
        </is>
      </c>
      <c r="AX9" s="17" t="n">
        <v>4100</v>
      </c>
      <c r="AY9" s="16">
        <f>IF(AU9&gt;0,AX9,"")</f>
        <v/>
      </c>
      <c r="AZ9" s="15">
        <f>IF(AU9&gt;0,AU9,"")</f>
        <v/>
      </c>
      <c r="BA9" s="18" t="n">
        <v>45371</v>
      </c>
      <c r="BB9" s="19">
        <f>IF(BA9="","",O9)</f>
        <v/>
      </c>
      <c r="BC9" s="19">
        <f>IF(BA9&gt;0,E9,"")</f>
        <v/>
      </c>
      <c r="BD9" s="19">
        <f>IF(AND(BA9&gt;0,BF9="",AR9=""),BB9,"")</f>
        <v/>
      </c>
      <c r="BE9" s="19">
        <f>IF(BD9="","",E9)</f>
        <v/>
      </c>
      <c r="BG9" s="6">
        <f>IF(AND(BF9&gt;0,BK9="",AR9=""),BB9,"")</f>
        <v/>
      </c>
      <c r="BH9" s="6">
        <f>IF(BG9="","",E9)</f>
        <v/>
      </c>
      <c r="BL9" s="6">
        <f>IF(BK9="","",D9)</f>
        <v/>
      </c>
      <c r="BM9" s="6">
        <f>IF(BK9&gt;0,Q9,"")</f>
        <v/>
      </c>
    </row>
    <row r="10">
      <c r="B10" s="6" t="n">
        <v>31</v>
      </c>
      <c r="C10" s="6" t="inlineStr">
        <is>
          <t>К 26.45.01</t>
        </is>
      </c>
      <c r="D10" s="6">
        <f>IF(C10="","",1)</f>
        <v/>
      </c>
      <c r="E10" s="6">
        <f>IFERROR(VLOOKUP($C10,Справочник!$B$2:$F$13,3),"")</f>
        <v/>
      </c>
      <c r="F10" s="7" t="n">
        <v>45000</v>
      </c>
      <c r="G10" s="6">
        <f>IF(AND(C10&gt;0,J10="",AR10=""),1,"")</f>
        <v/>
      </c>
      <c r="I10" s="6">
        <f>IF(AND(F10&gt;0,J10="",AR10=""),IFERROR(VLOOKUP($C10,Справочник!$B$2:$F$13,2),""),"")</f>
        <v/>
      </c>
      <c r="J10" s="7" t="n">
        <v>45026</v>
      </c>
      <c r="K10" s="6" t="n">
        <v>31</v>
      </c>
      <c r="O10" s="6">
        <f>IF(J10="","",D10)</f>
        <v/>
      </c>
      <c r="P10" s="6">
        <f>IF(J10&gt;0,IFERROR(VLOOKUP($C10,Справочник!$B$2:$F$13,2),""),"")</f>
        <v/>
      </c>
      <c r="Q10" s="6">
        <f>IF(J10&gt;0,E10,"")</f>
        <v/>
      </c>
      <c r="R10" s="6" t="inlineStr">
        <is>
          <t>КС</t>
        </is>
      </c>
      <c r="S10" s="8" t="n">
        <v>1</v>
      </c>
      <c r="T10" s="9" t="inlineStr">
        <is>
          <t>Подряд КС</t>
        </is>
      </c>
      <c r="V10" s="6">
        <f>IFERROR(VLOOKUP($C10,Справочник!$B$2:$F$13,4),"")</f>
        <v/>
      </c>
      <c r="W10" s="10" t="inlineStr">
        <is>
          <t>Прокладка кабелей связи</t>
        </is>
      </c>
      <c r="X10" s="7" t="n">
        <v>45028</v>
      </c>
      <c r="Y10" s="6">
        <f>IF(X10="","",O10)</f>
        <v/>
      </c>
      <c r="Z10" s="6">
        <f>IF(X10&gt;0,E10,"")</f>
        <v/>
      </c>
      <c r="AA10" s="7" t="n">
        <v>45028</v>
      </c>
      <c r="AB10" s="6">
        <f>IF(AND(AA10&gt;0,AD10="",AR10=""),Y10,"")</f>
        <v/>
      </c>
      <c r="AC10" s="6">
        <f>IF(AND(AA10&gt;0,AD10="",AR10=""),Z10,"")</f>
        <v/>
      </c>
      <c r="AD10" s="7" t="n">
        <v>45029</v>
      </c>
      <c r="AE10" s="6">
        <f>IF(AD10="","",Y10)</f>
        <v/>
      </c>
      <c r="AF10" s="6" t="inlineStr">
        <is>
          <t>Подписан КС</t>
        </is>
      </c>
      <c r="AG10" s="6">
        <f>IF(AND(AD10&gt;0,AI10="",AR10=""),Y10,"")</f>
        <v/>
      </c>
      <c r="AH10" s="6">
        <f>IF(AND(AD10&gt;0,AI10="",AR10=""),Z10,"")</f>
        <v/>
      </c>
      <c r="AI10" s="7" t="n">
        <v>45031</v>
      </c>
      <c r="AJ10" s="6">
        <f>IF(AND(AI10&gt;0,AL10="",AR10=""),Y10,"")</f>
        <v/>
      </c>
      <c r="AK10" s="6">
        <f>IF(AND(AI10&gt;0,AL10="",AR10=""),Z10,"")</f>
        <v/>
      </c>
      <c r="AM10" s="6">
        <f>IF(AND(AL10&gt;0,AR10="",AU10=""),D10,"")</f>
        <v/>
      </c>
      <c r="AN10" s="6">
        <f>IF(AND(AL10&gt;0,AP10="",AR10=""),Z10,"")</f>
        <v/>
      </c>
      <c r="AP10" s="11" t="n">
        <v>45337</v>
      </c>
      <c r="AQ10" s="12" t="n">
        <v>55</v>
      </c>
      <c r="AR10" s="12" t="n">
        <v>1</v>
      </c>
      <c r="AS10" s="13" t="n">
        <v>6500</v>
      </c>
      <c r="AT10" s="14" t="inlineStr">
        <is>
          <t>По договору</t>
        </is>
      </c>
      <c r="AU10" s="15" t="n">
        <v>45361</v>
      </c>
      <c r="AV10" s="16">
        <f>IF(AU10="","",D10)</f>
        <v/>
      </c>
      <c r="AW10" s="16" t="inlineStr">
        <is>
          <t>по</t>
        </is>
      </c>
      <c r="AX10" s="17" t="n">
        <v>6500</v>
      </c>
      <c r="AY10" s="16">
        <f>IF(AU10&gt;0,AX10,"")</f>
        <v/>
      </c>
      <c r="AZ10" s="15">
        <f>IF(AU10&gt;0,AU10,"")</f>
        <v/>
      </c>
      <c r="BA10" s="18" t="n">
        <v>45383</v>
      </c>
      <c r="BB10" s="19">
        <f>IF(BA10="","",O10)</f>
        <v/>
      </c>
      <c r="BC10" s="19">
        <f>IF(BA10&gt;0,E10,"")</f>
        <v/>
      </c>
      <c r="BD10" s="19">
        <f>IF(AND(BA10&gt;0,BF10="",AR10=""),BB10,"")</f>
        <v/>
      </c>
      <c r="BE10" s="19">
        <f>IF(BD10="","",E10)</f>
        <v/>
      </c>
      <c r="BG10" s="6">
        <f>IF(AND(BF10&gt;0,BK10="",AR10=""),BB10,"")</f>
        <v/>
      </c>
      <c r="BH10" s="6">
        <f>IF(BG10="","",E10)</f>
        <v/>
      </c>
      <c r="BL10" s="6">
        <f>IF(BK10="","",D10)</f>
        <v/>
      </c>
      <c r="BM10" s="6">
        <f>IF(BK10&gt;0,Q10,"")</f>
        <v/>
      </c>
    </row>
    <row r="11">
      <c r="B11" s="6" t="n">
        <v>61</v>
      </c>
      <c r="C11" s="6" t="inlineStr">
        <is>
          <t>К 26.45.01</t>
        </is>
      </c>
      <c r="D11" s="6">
        <f>IF(C11="","",1)</f>
        <v/>
      </c>
      <c r="E11" s="6">
        <f>IFERROR(VLOOKUP($C11,Справочник!$B$2:$F$13,3),"")</f>
        <v/>
      </c>
      <c r="F11" s="7" t="n">
        <v>45021</v>
      </c>
      <c r="G11" s="6">
        <f>IF(AND(C11&gt;0,J11="",AR11=""),1,"")</f>
        <v/>
      </c>
      <c r="I11" s="6">
        <f>IF(AND(F11&gt;0,J11="",AR11=""),IFERROR(VLOOKUP($C11,Справочник!$B$2:$F$13,2),""),"")</f>
        <v/>
      </c>
      <c r="J11" s="7" t="n">
        <v>45044</v>
      </c>
      <c r="K11" s="6" t="n">
        <v>61</v>
      </c>
      <c r="O11" s="6">
        <f>IF(J11="","",D11)</f>
        <v/>
      </c>
      <c r="P11" s="6">
        <f>IF(J11&gt;0,IFERROR(VLOOKUP($C11,Справочник!$B$2:$F$13,2),""),"")</f>
        <v/>
      </c>
      <c r="Q11" s="6">
        <f>IF(J11&gt;0,E11,"")</f>
        <v/>
      </c>
      <c r="R11" s="6" t="inlineStr">
        <is>
          <t>КС</t>
        </is>
      </c>
      <c r="S11" s="8" t="n">
        <v>1</v>
      </c>
      <c r="T11" s="9" t="inlineStr">
        <is>
          <t>Подряд КС</t>
        </is>
      </c>
      <c r="V11" s="6">
        <f>IFERROR(VLOOKUP($C11,Справочник!$B$2:$F$13,4),"")</f>
        <v/>
      </c>
      <c r="W11" s="10" t="inlineStr">
        <is>
          <t>Сдача объекта заказчику</t>
        </is>
      </c>
      <c r="X11" s="7" t="n">
        <v>45046</v>
      </c>
      <c r="Y11" s="6">
        <f>IF(X11="","",O11)</f>
        <v/>
      </c>
      <c r="Z11" s="6">
        <f>IF(X11&gt;0,E11,"")</f>
        <v/>
      </c>
      <c r="AA11" s="7" t="n">
        <v>45046</v>
      </c>
      <c r="AB11" s="6">
        <f>IF(AND(AA11&gt;0,AD11="",AR11=""),Y11,"")</f>
        <v/>
      </c>
      <c r="AC11" s="6">
        <f>IF(AND(AA11&gt;0,AD11="",AR11=""),Z11,"")</f>
        <v/>
      </c>
      <c r="AD11" s="7" t="n">
        <v>45047</v>
      </c>
      <c r="AE11" s="6">
        <f>IF(AD11="","",Y11)</f>
        <v/>
      </c>
      <c r="AF11" s="6" t="inlineStr">
        <is>
          <t>Подписан КС</t>
        </is>
      </c>
      <c r="AG11" s="6">
        <f>IF(AND(AD11&gt;0,AI11="",AR11=""),Y11,"")</f>
        <v/>
      </c>
      <c r="AH11" s="6">
        <f>IF(AND(AD11&gt;0,AI11="",AR11=""),Z11,"")</f>
        <v/>
      </c>
      <c r="AI11" s="7" t="n">
        <v>45049</v>
      </c>
      <c r="AJ11" s="6">
        <f>IF(AND(AI11&gt;0,AL11="",AR11=""),Y11,"")</f>
        <v/>
      </c>
      <c r="AK11" s="6">
        <f>IF(AND(AI11&gt;0,AL11="",AR11=""),Z11,"")</f>
        <v/>
      </c>
      <c r="AM11" s="6">
        <f>IF(AND(AL11&gt;0,AR11="",AU11=""),D11,"")</f>
        <v/>
      </c>
      <c r="AN11" s="6">
        <f>IF(AND(AL11&gt;0,AP11="",AR11=""),Z11,"")</f>
        <v/>
      </c>
      <c r="AP11" s="11" t="n">
        <v>45352</v>
      </c>
      <c r="AQ11" s="12" t="n">
        <v>41</v>
      </c>
      <c r="AR11" s="12" t="n">
        <v>1</v>
      </c>
      <c r="AS11" s="13" t="n">
        <v>6500</v>
      </c>
      <c r="AT11" s="14" t="inlineStr">
        <is>
          <t>По договору</t>
        </is>
      </c>
      <c r="AU11" s="15" t="n">
        <v>45383</v>
      </c>
      <c r="AV11" s="16">
        <f>IF(AU11="","",D11)</f>
        <v/>
      </c>
      <c r="AW11" s="16" t="inlineStr">
        <is>
          <t>по</t>
        </is>
      </c>
      <c r="AX11" s="17" t="n">
        <v>6500</v>
      </c>
      <c r="AY11" s="16">
        <f>IF(AU11&gt;0,AX11,"")</f>
        <v/>
      </c>
      <c r="AZ11" s="15">
        <f>IF(AU11&gt;0,AU11,"")</f>
        <v/>
      </c>
      <c r="BA11" s="18" t="n">
        <v>45397</v>
      </c>
      <c r="BB11" s="19">
        <f>IF(BA11="","",O11)</f>
        <v/>
      </c>
      <c r="BC11" s="19">
        <f>IF(BA11&gt;0,E11,"")</f>
        <v/>
      </c>
      <c r="BD11" s="19">
        <f>IF(AND(BA11&gt;0,BF11="",AR11=""),BB11,"")</f>
        <v/>
      </c>
      <c r="BE11" s="19">
        <f>IF(BD11="","",E11)</f>
        <v/>
      </c>
      <c r="BG11" s="6">
        <f>IF(AND(BF11&gt;0,BK11="",AR11=""),BB11,"")</f>
        <v/>
      </c>
      <c r="BH11" s="6">
        <f>IF(BG11="","",E11)</f>
        <v/>
      </c>
      <c r="BL11" s="6">
        <f>IF(BK11="","",D11)</f>
        <v/>
      </c>
      <c r="BM11" s="6">
        <f>IF(BK11&gt;0,Q11,"")</f>
        <v/>
      </c>
    </row>
    <row r="12">
      <c r="B12" s="6" t="n">
        <v>9</v>
      </c>
      <c r="C12" s="6" t="inlineStr">
        <is>
          <t>К 28.48.04</t>
        </is>
      </c>
      <c r="D12" s="6">
        <f>IF(C12="","",1)</f>
        <v/>
      </c>
      <c r="E12" s="6">
        <f>IFERROR(VLOOKUP($C12,Справочник!$B$2:$F$13,3),"")</f>
        <v/>
      </c>
      <c r="F12" s="7" t="n">
        <v>44978</v>
      </c>
      <c r="G12" s="6">
        <f>IF(AND(C12&gt;0,J12="",AR12=""),1,"")</f>
        <v/>
      </c>
      <c r="I12" s="6">
        <f>IF(AND(F12&gt;0,J12="",AR12=""),IFERROR(VLOOKUP($C12,Справочник!$B$2:$F$13,2),""),"")</f>
        <v/>
      </c>
      <c r="J12" s="7" t="n">
        <v>44986</v>
      </c>
      <c r="K12" s="6" t="n">
        <v>9</v>
      </c>
      <c r="O12" s="6">
        <f>IF(J12="","",D12)</f>
        <v/>
      </c>
      <c r="P12" s="6">
        <f>IF(J12&gt;0,IFERROR(VLOOKUP($C12,Справочник!$B$2:$F$13,2),""),"")</f>
        <v/>
      </c>
      <c r="Q12" s="6">
        <f>IF(J12&gt;0,E12,"")</f>
        <v/>
      </c>
      <c r="R12" s="6" t="inlineStr">
        <is>
          <t>КС</t>
        </is>
      </c>
      <c r="T12" s="9" t="inlineStr">
        <is>
          <t>Подряд КС</t>
        </is>
      </c>
      <c r="V12" s="6">
        <f>IFERROR(VLOOKUP($C12,Справочник!$B$2:$F$13,4),"")</f>
        <v/>
      </c>
      <c r="W12" s="10" t="inlineStr">
        <is>
          <t>Монтаж вентиляционной системы</t>
        </is>
      </c>
      <c r="X12" s="7" t="n">
        <v>44988</v>
      </c>
      <c r="Y12" s="6">
        <f>IF(X12="","",O12)</f>
        <v/>
      </c>
      <c r="Z12" s="6">
        <f>IF(X12&gt;0,E12,"")</f>
        <v/>
      </c>
      <c r="AA12" s="7" t="n">
        <v>44988</v>
      </c>
      <c r="AB12" s="6">
        <f>IF(AND(AA12&gt;0,AD12="",AR12=""),Y12,"")</f>
        <v/>
      </c>
      <c r="AC12" s="6">
        <f>IF(AND(AA12&gt;0,AD12="",AR12=""),Z12,"")</f>
        <v/>
      </c>
      <c r="AD12" s="7" t="n">
        <v>44988</v>
      </c>
      <c r="AE12" s="6">
        <f>IF(AD12="","",Y12)</f>
        <v/>
      </c>
      <c r="AF12" s="6" t="inlineStr">
        <is>
          <t>Подписан КС</t>
        </is>
      </c>
      <c r="AG12" s="6">
        <f>IF(AND(AD12&gt;0,AI12="",AR12=""),Y12,"")</f>
        <v/>
      </c>
      <c r="AH12" s="6">
        <f>IF(AND(AD12&gt;0,AI12="",AR12=""),Z12,"")</f>
        <v/>
      </c>
      <c r="AJ12" s="6">
        <f>IF(AND(AI12&gt;0,AL12="",AR12=""),Y12,"")</f>
        <v/>
      </c>
      <c r="AK12" s="6">
        <f>IF(AND(AI12&gt;0,AL12="",AR12=""),Z12,"")</f>
        <v/>
      </c>
      <c r="AM12" s="6">
        <f>IF(AND(AL12&gt;0,AR12="",AU12=""),D12,"")</f>
        <v/>
      </c>
      <c r="AN12" s="6">
        <f>IF(AND(AL12&gt;0,AP12="",AR12=""),Z12,"")</f>
        <v/>
      </c>
      <c r="AV12" s="16">
        <f>IF(AU12="","",D12)</f>
        <v/>
      </c>
      <c r="AY12" s="16">
        <f>IF(AU12&gt;0,AX12,"")</f>
        <v/>
      </c>
      <c r="AZ12" s="16">
        <f>IF(AU12&gt;0,AU12,"")</f>
        <v/>
      </c>
      <c r="BB12" s="19">
        <f>IF(BA12="","",O12)</f>
        <v/>
      </c>
      <c r="BC12" s="19">
        <f>IF(BA12&gt;0,E12,"")</f>
        <v/>
      </c>
      <c r="BD12" s="19">
        <f>IF(AND(BA12&gt;0,BF12="",AR12=""),BB12,"")</f>
        <v/>
      </c>
      <c r="BE12" s="19">
        <f>IF(BD12="","",E12)</f>
        <v/>
      </c>
      <c r="BG12" s="6">
        <f>IF(AND(BF12&gt;0,BK12="",AR12=""),BB12,"")</f>
        <v/>
      </c>
      <c r="BH12" s="6">
        <f>IF(BG12="","",E12)</f>
        <v/>
      </c>
      <c r="BL12" s="6">
        <f>IF(BK12="","",D12)</f>
        <v/>
      </c>
      <c r="BM12" s="6">
        <f>IF(BK12&gt;0,Q12,"")</f>
        <v/>
      </c>
    </row>
    <row r="13">
      <c r="B13" s="6" t="n">
        <v>11</v>
      </c>
      <c r="C13" s="6" t="inlineStr">
        <is>
          <t>К 28.48.04</t>
        </is>
      </c>
      <c r="D13" s="6">
        <f>IF(C13="","",1)</f>
        <v/>
      </c>
      <c r="E13" s="6">
        <f>IFERROR(VLOOKUP($C13,Справочник!$B$2:$F$13,3),"")</f>
        <v/>
      </c>
      <c r="F13" s="7" t="n">
        <v>44978</v>
      </c>
      <c r="G13" s="6">
        <f>IF(AND(C13&gt;0,J13="",AR13=""),1,"")</f>
        <v/>
      </c>
      <c r="I13" s="6">
        <f>IF(AND(F13&gt;0,J13="",AR13=""),IFERROR(VLOOKUP($C13,Справочник!$B$2:$F$13,2),""),"")</f>
        <v/>
      </c>
      <c r="J13" s="7" t="n">
        <v>44986</v>
      </c>
      <c r="K13" s="6" t="n">
        <v>11</v>
      </c>
      <c r="O13" s="6">
        <f>IF(J13="","",D13)</f>
        <v/>
      </c>
      <c r="P13" s="6">
        <f>IF(J13&gt;0,IFERROR(VLOOKUP($C13,Справочник!$B$2:$F$13,2),""),"")</f>
        <v/>
      </c>
      <c r="Q13" s="6">
        <f>IF(J13&gt;0,E13,"")</f>
        <v/>
      </c>
      <c r="R13" s="6" t="inlineStr">
        <is>
          <t>КС</t>
        </is>
      </c>
      <c r="T13" s="9" t="inlineStr">
        <is>
          <t>Подряд КС</t>
        </is>
      </c>
      <c r="V13" s="6">
        <f>IFERROR(VLOOKUP($C13,Справочник!$B$2:$F$13,4),"")</f>
        <v/>
      </c>
      <c r="W13" s="10" t="inlineStr">
        <is>
          <t>Реконструкция фасада здания</t>
        </is>
      </c>
      <c r="X13" s="7" t="n">
        <v>44988</v>
      </c>
      <c r="Y13" s="6">
        <f>IF(X13="","",O13)</f>
        <v/>
      </c>
      <c r="Z13" s="6">
        <f>IF(X13&gt;0,E13,"")</f>
        <v/>
      </c>
      <c r="AA13" s="7" t="n">
        <v>44988</v>
      </c>
      <c r="AB13" s="6">
        <f>IF(AND(AA13&gt;0,AD13="",AR13=""),Y13,"")</f>
        <v/>
      </c>
      <c r="AC13" s="6">
        <f>IF(AND(AA13&gt;0,AD13="",AR13=""),Z13,"")</f>
        <v/>
      </c>
      <c r="AD13" s="7" t="n">
        <v>44989</v>
      </c>
      <c r="AE13" s="6">
        <f>IF(AD13="","",Y13)</f>
        <v/>
      </c>
      <c r="AF13" s="6" t="inlineStr">
        <is>
          <t>Подписан КС</t>
        </is>
      </c>
      <c r="AG13" s="6">
        <f>IF(AND(AD13&gt;0,AI13="",AR13=""),Y13,"")</f>
        <v/>
      </c>
      <c r="AH13" s="6">
        <f>IF(AND(AD13&gt;0,AI13="",AR13=""),Z13,"")</f>
        <v/>
      </c>
      <c r="AJ13" s="6">
        <f>IF(AND(AI13&gt;0,AL13="",AR13=""),Y13,"")</f>
        <v/>
      </c>
      <c r="AK13" s="6">
        <f>IF(AND(AI13&gt;0,AL13="",AR13=""),Z13,"")</f>
        <v/>
      </c>
      <c r="AM13" s="6">
        <f>IF(AND(AL13&gt;0,AR13="",AU13=""),D13,"")</f>
        <v/>
      </c>
      <c r="AN13" s="6">
        <f>IF(AND(AL13&gt;0,AP13="",AR13=""),Z13,"")</f>
        <v/>
      </c>
      <c r="AV13" s="16">
        <f>IF(AU13="","",D13)</f>
        <v/>
      </c>
      <c r="AY13" s="16">
        <f>IF(AU13&gt;0,AX13,"")</f>
        <v/>
      </c>
      <c r="AZ13" s="16">
        <f>IF(AU13&gt;0,AU13,"")</f>
        <v/>
      </c>
      <c r="BB13" s="19">
        <f>IF(BA13="","",O13)</f>
        <v/>
      </c>
      <c r="BC13" s="19">
        <f>IF(BA13&gt;0,E13,"")</f>
        <v/>
      </c>
      <c r="BD13" s="19">
        <f>IF(AND(BA13&gt;0,BF13="",AR13=""),BB13,"")</f>
        <v/>
      </c>
      <c r="BE13" s="19">
        <f>IF(BD13="","",E13)</f>
        <v/>
      </c>
      <c r="BG13" s="6">
        <f>IF(AND(BF13&gt;0,BK13="",AR13=""),BB13,"")</f>
        <v/>
      </c>
      <c r="BH13" s="6">
        <f>IF(BG13="","",E13)</f>
        <v/>
      </c>
      <c r="BL13" s="6">
        <f>IF(BK13="","",D13)</f>
        <v/>
      </c>
      <c r="BM13" s="6">
        <f>IF(BK13&gt;0,Q13,"")</f>
        <v/>
      </c>
    </row>
    <row r="14">
      <c r="B14" s="6" t="n">
        <v>22</v>
      </c>
      <c r="C14" s="6" t="inlineStr">
        <is>
          <t>ФЗ 38.27.09</t>
        </is>
      </c>
      <c r="D14" s="6">
        <f>IF(C14="","",1)</f>
        <v/>
      </c>
      <c r="E14" s="6">
        <f>IFERROR(VLOOKUP($C14,Справочник!$B$2:$F$13,3),"")</f>
        <v/>
      </c>
      <c r="F14" s="7" t="n">
        <v>44986</v>
      </c>
      <c r="G14" s="6">
        <f>IF(AND(C14&gt;0,J14="",AR14=""),1,"")</f>
        <v/>
      </c>
      <c r="I14" s="6">
        <f>IF(AND(F14&gt;0,J14="",AR14=""),IFERROR(VLOOKUP($C14,Справочник!$B$2:$F$13,2),""),"")</f>
        <v/>
      </c>
      <c r="J14" s="7" t="n">
        <v>45005</v>
      </c>
      <c r="K14" s="6" t="n">
        <v>22</v>
      </c>
      <c r="O14" s="6">
        <f>IF(J14="","",D14)</f>
        <v/>
      </c>
      <c r="P14" s="6">
        <f>IF(J14&gt;0,IFERROR(VLOOKUP($C14,Справочник!$B$2:$F$13,2),""),"")</f>
        <v/>
      </c>
      <c r="Q14" s="6">
        <f>IF(J14&gt;0,E14,"")</f>
        <v/>
      </c>
      <c r="R14" s="6" t="inlineStr">
        <is>
          <t>ФЗ-44</t>
        </is>
      </c>
      <c r="T14" s="9" t="inlineStr">
        <is>
          <t>Услуги</t>
        </is>
      </c>
      <c r="V14" s="6">
        <f>IFERROR(VLOOKUP($C14,Справочник!$B$2:$F$13,4),"")</f>
        <v/>
      </c>
      <c r="W14" s="10" t="inlineStr">
        <is>
          <t>Интеграция API информационной системы</t>
        </is>
      </c>
      <c r="X14" s="7" t="n">
        <v>45008</v>
      </c>
      <c r="Y14" s="6">
        <f>IF(X14="","",O14)</f>
        <v/>
      </c>
      <c r="Z14" s="6">
        <f>IF(X14&gt;0,E14,"")</f>
        <v/>
      </c>
      <c r="AA14" s="7" t="n">
        <v>45008</v>
      </c>
      <c r="AB14" s="6">
        <f>IF(AND(AA14&gt;0,AD14="",AR14=""),Y14,"")</f>
        <v/>
      </c>
      <c r="AC14" s="6">
        <f>IF(AND(AA14&gt;0,AD14="",AR14=""),Z14,"")</f>
        <v/>
      </c>
      <c r="AE14" s="6">
        <f>IF(AD14="","",Y14)</f>
        <v/>
      </c>
      <c r="AG14" s="6">
        <f>IF(AND(AD14&gt;0,AI14="",AR14=""),Y14,"")</f>
        <v/>
      </c>
      <c r="AH14" s="6">
        <f>IF(AND(AD14&gt;0,AI14="",AR14=""),Z14,"")</f>
        <v/>
      </c>
      <c r="AJ14" s="6">
        <f>IF(AND(AI14&gt;0,AL14="",AR14=""),Y14,"")</f>
        <v/>
      </c>
      <c r="AK14" s="6">
        <f>IF(AND(AI14&gt;0,AL14="",AR14=""),Z14,"")</f>
        <v/>
      </c>
      <c r="AM14" s="6">
        <f>IF(AND(AL14&gt;0,AR14="",AU14=""),D14,"")</f>
        <v/>
      </c>
      <c r="AN14" s="6">
        <f>IF(AND(AL14&gt;0,AP14="",AR14=""),Z14,"")</f>
        <v/>
      </c>
      <c r="AV14" s="16">
        <f>IF(AU14="","",D14)</f>
        <v/>
      </c>
      <c r="AY14" s="16">
        <f>IF(AU14&gt;0,AX14,"")</f>
        <v/>
      </c>
      <c r="AZ14" s="16">
        <f>IF(AU14&gt;0,AU14,"")</f>
        <v/>
      </c>
      <c r="BB14" s="19">
        <f>IF(BA14="","",O14)</f>
        <v/>
      </c>
      <c r="BC14" s="19">
        <f>IF(BA14&gt;0,E14,"")</f>
        <v/>
      </c>
      <c r="BD14" s="19">
        <f>IF(AND(BA14&gt;0,BF14="",AR14=""),BB14,"")</f>
        <v/>
      </c>
      <c r="BE14" s="19">
        <f>IF(BD14="","",E14)</f>
        <v/>
      </c>
      <c r="BG14" s="6">
        <f>IF(AND(BF14&gt;0,BK14="",AR14=""),BB14,"")</f>
        <v/>
      </c>
      <c r="BH14" s="6">
        <f>IF(BG14="","",E14)</f>
        <v/>
      </c>
      <c r="BL14" s="6">
        <f>IF(BK14="","",D14)</f>
        <v/>
      </c>
      <c r="BM14" s="6">
        <f>IF(BK14&gt;0,Q14,"")</f>
        <v/>
      </c>
    </row>
    <row r="15">
      <c r="B15" s="6" t="n">
        <v>25</v>
      </c>
      <c r="C15" s="6" t="inlineStr">
        <is>
          <t>ФЗ 38.27.07</t>
        </is>
      </c>
      <c r="D15" s="6">
        <f>IF(C15="","",1)</f>
        <v/>
      </c>
      <c r="E15" s="6">
        <f>IFERROR(VLOOKUP($C15,Справочник!$B$2:$F$13,3),"")</f>
        <v/>
      </c>
      <c r="F15" s="7" t="n">
        <v>44990</v>
      </c>
      <c r="G15" s="6">
        <f>IF(AND(C15&gt;0,J15="",AR15=""),1,"")</f>
        <v/>
      </c>
      <c r="I15" s="6">
        <f>IF(AND(F15&gt;0,J15="",AR15=""),IFERROR(VLOOKUP($C15,Справочник!$B$2:$F$13,2),""),"")</f>
        <v/>
      </c>
      <c r="J15" s="7" t="n">
        <v>45010</v>
      </c>
      <c r="K15" s="6" t="n">
        <v>25</v>
      </c>
      <c r="O15" s="6">
        <f>IF(J15="","",D15)</f>
        <v/>
      </c>
      <c r="P15" s="6">
        <f>IF(J15&gt;0,IFERROR(VLOOKUP($C15,Справочник!$B$2:$F$13,2),""),"")</f>
        <v/>
      </c>
      <c r="Q15" s="6">
        <f>IF(J15&gt;0,E15,"")</f>
        <v/>
      </c>
      <c r="R15" s="6" t="inlineStr">
        <is>
          <t>ФЗ-44</t>
        </is>
      </c>
      <c r="T15" s="9" t="inlineStr">
        <is>
          <t>Услуги</t>
        </is>
      </c>
      <c r="V15" s="6">
        <f>IFERROR(VLOOKUP($C15,Справочник!$B$2:$F$13,4),"")</f>
        <v/>
      </c>
      <c r="W15" s="10" t="inlineStr">
        <is>
          <t>Обучение персонала</t>
        </is>
      </c>
      <c r="X15" s="7" t="n">
        <v>45012</v>
      </c>
      <c r="Y15" s="6">
        <f>IF(X15="","",O15)</f>
        <v/>
      </c>
      <c r="Z15" s="6">
        <f>IF(X15&gt;0,E15,"")</f>
        <v/>
      </c>
      <c r="AA15" s="7" t="n">
        <v>45012</v>
      </c>
      <c r="AB15" s="6">
        <f>IF(AND(AA15&gt;0,AD15="",AR15=""),Y15,"")</f>
        <v/>
      </c>
      <c r="AC15" s="6">
        <f>IF(AND(AA15&gt;0,AD15="",AR15=""),Z15,"")</f>
        <v/>
      </c>
      <c r="AD15" s="7" t="n">
        <v>45013</v>
      </c>
      <c r="AE15" s="6">
        <f>IF(AD15="","",Y15)</f>
        <v/>
      </c>
      <c r="AF15" s="6" t="inlineStr">
        <is>
          <t>Подписан</t>
        </is>
      </c>
      <c r="AG15" s="6">
        <f>IF(AND(AD15&gt;0,AI15="",AR15=""),Y15,"")</f>
        <v/>
      </c>
      <c r="AH15" s="6">
        <f>IF(AND(AD15&gt;0,AI15="",AR15=""),Z15,"")</f>
        <v/>
      </c>
      <c r="AJ15" s="6">
        <f>IF(AND(AI15&gt;0,AL15="",AR15=""),Y15,"")</f>
        <v/>
      </c>
      <c r="AK15" s="6">
        <f>IF(AND(AI15&gt;0,AL15="",AR15=""),Z15,"")</f>
        <v/>
      </c>
      <c r="AM15" s="6">
        <f>IF(AND(AL15&gt;0,AR15="",AU15=""),D15,"")</f>
        <v/>
      </c>
      <c r="AN15" s="6">
        <f>IF(AND(AL15&gt;0,AP15="",AR15=""),Z15,"")</f>
        <v/>
      </c>
      <c r="AV15" s="16">
        <f>IF(AU15="","",D15)</f>
        <v/>
      </c>
      <c r="AY15" s="16">
        <f>IF(AU15&gt;0,AX15,"")</f>
        <v/>
      </c>
      <c r="AZ15" s="16">
        <f>IF(AU15&gt;0,AU15,"")</f>
        <v/>
      </c>
      <c r="BB15" s="19">
        <f>IF(BA15="","",O15)</f>
        <v/>
      </c>
      <c r="BC15" s="19">
        <f>IF(BA15&gt;0,E15,"")</f>
        <v/>
      </c>
      <c r="BD15" s="19">
        <f>IF(AND(BA15&gt;0,BF15="",AR15=""),BB15,"")</f>
        <v/>
      </c>
      <c r="BE15" s="19">
        <f>IF(BD15="","",E15)</f>
        <v/>
      </c>
      <c r="BG15" s="6">
        <f>IF(AND(BF15&gt;0,BK15="",AR15=""),BB15,"")</f>
        <v/>
      </c>
      <c r="BH15" s="6">
        <f>IF(BG15="","",E15)</f>
        <v/>
      </c>
      <c r="BL15" s="6">
        <f>IF(BK15="","",D15)</f>
        <v/>
      </c>
      <c r="BM15" s="6">
        <f>IF(BK15&gt;0,Q15,"")</f>
        <v/>
      </c>
    </row>
    <row r="16">
      <c r="B16" s="6" t="n">
        <v>19</v>
      </c>
      <c r="C16" s="6" t="inlineStr">
        <is>
          <t>ФЗ 38.27.10</t>
        </is>
      </c>
      <c r="D16" s="6">
        <f>IF(C16="","",1)</f>
        <v/>
      </c>
      <c r="E16" s="6">
        <f>IFERROR(VLOOKUP($C16,Справочник!$B$2:$F$13,3),"")</f>
        <v/>
      </c>
      <c r="F16" s="7" t="n">
        <v>44986</v>
      </c>
      <c r="G16" s="6">
        <f>IF(AND(C16&gt;0,J16="",AR16=""),1,"")</f>
        <v/>
      </c>
      <c r="I16" s="6">
        <f>IF(AND(F16&gt;0,J16="",AR16=""),IFERROR(VLOOKUP($C16,Справочник!$B$2:$F$13,2),""),"")</f>
        <v/>
      </c>
      <c r="K16" s="6" t="n">
        <v>19</v>
      </c>
      <c r="O16" s="6">
        <f>IF(J16="","",D16)</f>
        <v/>
      </c>
      <c r="P16" s="6">
        <f>IF(J16&gt;0,IFERROR(VLOOKUP($C16,Справочник!$B$2:$F$13,2),""),"")</f>
        <v/>
      </c>
      <c r="Q16" s="6">
        <f>IF(J16&gt;0,E16,"")</f>
        <v/>
      </c>
      <c r="R16" s="6" t="inlineStr">
        <is>
          <t>ФЗ-44</t>
        </is>
      </c>
      <c r="T16" s="9" t="inlineStr">
        <is>
          <t>Поставка</t>
        </is>
      </c>
      <c r="V16" s="6">
        <f>IFERROR(VLOOKUP($C16,Справочник!$B$2:$F$13,4),"")</f>
        <v/>
      </c>
      <c r="W16" s="10" t="inlineStr">
        <is>
          <t>Поставка программного обеспечения</t>
        </is>
      </c>
      <c r="Y16" s="6">
        <f>IF(X16="","",O16)</f>
        <v/>
      </c>
      <c r="Z16" s="6">
        <f>IF(X16&gt;0,E16,"")</f>
        <v/>
      </c>
      <c r="AB16" s="6">
        <f>IF(AND(AA16&gt;0,AD16="",AR16=""),Y16,"")</f>
        <v/>
      </c>
      <c r="AC16" s="6">
        <f>IF(AND(AA16&gt;0,AD16="",AR16=""),Z16,"")</f>
        <v/>
      </c>
      <c r="AE16" s="6">
        <f>IF(AD16="","",Y16)</f>
        <v/>
      </c>
      <c r="AG16" s="6">
        <f>IF(AND(AD16&gt;0,AI16="",AR16=""),Y16,"")</f>
        <v/>
      </c>
      <c r="AH16" s="6">
        <f>IF(AND(AD16&gt;0,AI16="",AR16=""),Z16,"")</f>
        <v/>
      </c>
      <c r="AJ16" s="6">
        <f>IF(AND(AI16&gt;0,AL16="",AR16=""),Y16,"")</f>
        <v/>
      </c>
      <c r="AK16" s="6">
        <f>IF(AND(AI16&gt;0,AL16="",AR16=""),Z16,"")</f>
        <v/>
      </c>
      <c r="AM16" s="6">
        <f>IF(AND(AL16&gt;0,AR16="",AU16=""),D16,"")</f>
        <v/>
      </c>
      <c r="AN16" s="6">
        <f>IF(AND(AL16&gt;0,AP16="",AR16=""),Z16,"")</f>
        <v/>
      </c>
      <c r="AV16" s="16">
        <f>IF(AU16="","",D16)</f>
        <v/>
      </c>
      <c r="AY16" s="16">
        <f>IF(AU16&gt;0,AX16,"")</f>
        <v/>
      </c>
      <c r="AZ16" s="16">
        <f>IF(AU16&gt;0,AU16,"")</f>
        <v/>
      </c>
      <c r="BB16" s="19">
        <f>IF(BA16="","",O16)</f>
        <v/>
      </c>
      <c r="BC16" s="19">
        <f>IF(BA16&gt;0,E16,"")</f>
        <v/>
      </c>
      <c r="BD16" s="19">
        <f>IF(AND(BA16&gt;0,BF16="",AR16=""),BB16,"")</f>
        <v/>
      </c>
      <c r="BE16" s="19">
        <f>IF(BD16="","",E16)</f>
        <v/>
      </c>
      <c r="BG16" s="6">
        <f>IF(AND(BF16&gt;0,BK16="",AR16=""),BB16,"")</f>
        <v/>
      </c>
      <c r="BH16" s="6">
        <f>IF(BG16="","",E16)</f>
        <v/>
      </c>
      <c r="BL16" s="6">
        <f>IF(BK16="","",D16)</f>
        <v/>
      </c>
      <c r="BM16" s="6">
        <f>IF(BK16&gt;0,Q16,"")</f>
        <v/>
      </c>
    </row>
    <row r="17">
      <c r="B17" s="6" t="n">
        <v>20</v>
      </c>
      <c r="C17" s="6" t="inlineStr">
        <is>
          <t>ФЗ 38.27.09</t>
        </is>
      </c>
      <c r="D17" s="6">
        <f>IF(C17="","",1)</f>
        <v/>
      </c>
      <c r="E17" s="6">
        <f>IFERROR(VLOOKUP($C17,Справочник!$B$2:$F$13,3),"")</f>
        <v/>
      </c>
      <c r="F17" s="7" t="n">
        <v>44986</v>
      </c>
      <c r="G17" s="6">
        <f>IF(AND(C17&gt;0,J17="",AR17=""),1,"")</f>
        <v/>
      </c>
      <c r="I17" s="6">
        <f>IF(AND(F17&gt;0,J17="",AR17=""),IFERROR(VLOOKUP($C17,Справочник!$B$2:$F$13,2),""),"")</f>
        <v/>
      </c>
      <c r="K17" s="6" t="n">
        <v>20</v>
      </c>
      <c r="O17" s="6">
        <f>IF(J17="","",D17)</f>
        <v/>
      </c>
      <c r="P17" s="6">
        <f>IF(J17&gt;0,IFERROR(VLOOKUP($C17,Справочник!$B$2:$F$13,2),""),"")</f>
        <v/>
      </c>
      <c r="Q17" s="6">
        <f>IF(J17&gt;0,E17,"")</f>
        <v/>
      </c>
      <c r="R17" s="6" t="inlineStr">
        <is>
          <t>ФЗ-44</t>
        </is>
      </c>
      <c r="T17" s="9" t="inlineStr">
        <is>
          <t>Услуги</t>
        </is>
      </c>
      <c r="V17" s="6">
        <f>IFERROR(VLOOKUP($C17,Справочник!$B$2:$F$13,4),"")</f>
        <v/>
      </c>
      <c r="W17" s="10" t="inlineStr">
        <is>
          <t>Техническая поддержка ИС</t>
        </is>
      </c>
      <c r="Y17" s="6">
        <f>IF(X17="","",O17)</f>
        <v/>
      </c>
      <c r="Z17" s="6">
        <f>IF(X17&gt;0,E17,"")</f>
        <v/>
      </c>
      <c r="AB17" s="6">
        <f>IF(AND(AA17&gt;0,AD17="",AR17=""),Y17,"")</f>
        <v/>
      </c>
      <c r="AC17" s="6">
        <f>IF(AND(AA17&gt;0,AD17="",AR17=""),Z17,"")</f>
        <v/>
      </c>
      <c r="AE17" s="6">
        <f>IF(AD17="","",Y17)</f>
        <v/>
      </c>
      <c r="AG17" s="6">
        <f>IF(AND(AD17&gt;0,AI17="",AR17=""),Y17,"")</f>
        <v/>
      </c>
      <c r="AH17" s="6">
        <f>IF(AND(AD17&gt;0,AI17="",AR17=""),Z17,"")</f>
        <v/>
      </c>
      <c r="AJ17" s="6">
        <f>IF(AND(AI17&gt;0,AL17="",AR17=""),Y17,"")</f>
        <v/>
      </c>
      <c r="AK17" s="6">
        <f>IF(AND(AI17&gt;0,AL17="",AR17=""),Z17,"")</f>
        <v/>
      </c>
      <c r="AM17" s="6">
        <f>IF(AND(AL17&gt;0,AR17="",AU17=""),D17,"")</f>
        <v/>
      </c>
      <c r="AN17" s="6">
        <f>IF(AND(AL17&gt;0,AP17="",AR17=""),Z17,"")</f>
        <v/>
      </c>
      <c r="AV17" s="16">
        <f>IF(AU17="","",D17)</f>
        <v/>
      </c>
      <c r="AY17" s="16">
        <f>IF(AU17&gt;0,AX17,"")</f>
        <v/>
      </c>
      <c r="AZ17" s="16">
        <f>IF(AU17&gt;0,AU17,"")</f>
        <v/>
      </c>
      <c r="BB17" s="19">
        <f>IF(BA17="","",O17)</f>
        <v/>
      </c>
      <c r="BC17" s="19">
        <f>IF(BA17&gt;0,E17,"")</f>
        <v/>
      </c>
      <c r="BD17" s="19">
        <f>IF(AND(BA17&gt;0,BF17="",AR17=""),BB17,"")</f>
        <v/>
      </c>
      <c r="BE17" s="19">
        <f>IF(BD17="","",E17)</f>
        <v/>
      </c>
      <c r="BG17" s="6">
        <f>IF(AND(BF17&gt;0,BK17="",AR17=""),BB17,"")</f>
        <v/>
      </c>
      <c r="BH17" s="6">
        <f>IF(BG17="","",E17)</f>
        <v/>
      </c>
      <c r="BL17" s="6">
        <f>IF(BK17="","",D17)</f>
        <v/>
      </c>
      <c r="BM17" s="6">
        <f>IF(BK17&gt;0,Q17,"")</f>
        <v/>
      </c>
    </row>
    <row r="18">
      <c r="B18" s="6" t="n">
        <v>24</v>
      </c>
      <c r="C18" s="6" t="inlineStr">
        <is>
          <t>ФЗ 38.27.07</t>
        </is>
      </c>
      <c r="D18" s="6">
        <f>IF(C18="","",1)</f>
        <v/>
      </c>
      <c r="E18" s="6">
        <f>IFERROR(VLOOKUP($C18,Справочник!$B$2:$F$13,3),"")</f>
        <v/>
      </c>
      <c r="F18" s="7" t="n">
        <v>44990</v>
      </c>
      <c r="G18" s="6">
        <f>IF(AND(C18&gt;0,J18="",AR18=""),1,"")</f>
        <v/>
      </c>
      <c r="I18" s="6">
        <f>IF(AND(F18&gt;0,J18="",AR18=""),IFERROR(VLOOKUP($C18,Справочник!$B$2:$F$13,2),""),"")</f>
        <v/>
      </c>
      <c r="K18" s="6" t="n">
        <v>24</v>
      </c>
      <c r="O18" s="6">
        <f>IF(J18="","",D18)</f>
        <v/>
      </c>
      <c r="P18" s="6">
        <f>IF(J18&gt;0,IFERROR(VLOOKUP($C18,Справочник!$B$2:$F$13,2),""),"")</f>
        <v/>
      </c>
      <c r="Q18" s="6">
        <f>IF(J18&gt;0,E18,"")</f>
        <v/>
      </c>
      <c r="R18" s="6" t="inlineStr">
        <is>
          <t>ФЗ-44</t>
        </is>
      </c>
      <c r="T18" s="9" t="inlineStr">
        <is>
          <t>Услуги</t>
        </is>
      </c>
      <c r="V18" s="6">
        <f>IFERROR(VLOOKUP($C18,Справочник!$B$2:$F$13,4),"")</f>
        <v/>
      </c>
      <c r="W18" s="10" t="inlineStr">
        <is>
          <t>Консультационные услуги</t>
        </is>
      </c>
      <c r="Y18" s="6">
        <f>IF(X18="","",O18)</f>
        <v/>
      </c>
      <c r="Z18" s="6">
        <f>IF(X18&gt;0,E18,"")</f>
        <v/>
      </c>
      <c r="AB18" s="6">
        <f>IF(AND(AA18&gt;0,AD18="",AR18=""),Y18,"")</f>
        <v/>
      </c>
      <c r="AC18" s="6">
        <f>IF(AND(AA18&gt;0,AD18="",AR18=""),Z18,"")</f>
        <v/>
      </c>
      <c r="AE18" s="6">
        <f>IF(AD18="","",Y18)</f>
        <v/>
      </c>
      <c r="AG18" s="6">
        <f>IF(AND(AD18&gt;0,AI18="",AR18=""),Y18,"")</f>
        <v/>
      </c>
      <c r="AH18" s="6">
        <f>IF(AND(AD18&gt;0,AI18="",AR18=""),Z18,"")</f>
        <v/>
      </c>
      <c r="AJ18" s="6">
        <f>IF(AND(AI18&gt;0,AL18="",AR18=""),Y18,"")</f>
        <v/>
      </c>
      <c r="AK18" s="6">
        <f>IF(AND(AI18&gt;0,AL18="",AR18=""),Z18,"")</f>
        <v/>
      </c>
      <c r="AM18" s="6">
        <f>IF(AND(AL18&gt;0,AR18="",AU18=""),D18,"")</f>
        <v/>
      </c>
      <c r="AN18" s="6">
        <f>IF(AND(AL18&gt;0,AP18="",AR18=""),Z18,"")</f>
        <v/>
      </c>
      <c r="AV18" s="16">
        <f>IF(AU18="","",D18)</f>
        <v/>
      </c>
      <c r="AY18" s="16">
        <f>IF(AU18&gt;0,AX18,"")</f>
        <v/>
      </c>
      <c r="AZ18" s="16">
        <f>IF(AU18&gt;0,AU18,"")</f>
        <v/>
      </c>
      <c r="BB18" s="19">
        <f>IF(BA18="","",O18)</f>
        <v/>
      </c>
      <c r="BC18" s="19">
        <f>IF(BA18&gt;0,E18,"")</f>
        <v/>
      </c>
      <c r="BD18" s="19">
        <f>IF(AND(BA18&gt;0,BF18="",AR18=""),BB18,"")</f>
        <v/>
      </c>
      <c r="BE18" s="19">
        <f>IF(BD18="","",E18)</f>
        <v/>
      </c>
      <c r="BG18" s="6">
        <f>IF(AND(BF18&gt;0,BK18="",AR18=""),BB18,"")</f>
        <v/>
      </c>
      <c r="BH18" s="6">
        <f>IF(BG18="","",E18)</f>
        <v/>
      </c>
      <c r="BL18" s="6">
        <f>IF(BK18="","",D18)</f>
        <v/>
      </c>
      <c r="BM18" s="6">
        <f>IF(BK18&gt;0,Q18,"")</f>
        <v/>
      </c>
    </row>
    <row r="19">
      <c r="B19" s="6" t="n">
        <v>26</v>
      </c>
      <c r="C19" s="6" t="inlineStr">
        <is>
          <t>ФЗ 38.27.08</t>
        </is>
      </c>
      <c r="D19" s="6">
        <f>IF(C19="","",1)</f>
        <v/>
      </c>
      <c r="E19" s="6">
        <f>IFERROR(VLOOKUP($C19,Справочник!$B$2:$F$13,3),"")</f>
        <v/>
      </c>
      <c r="F19" s="7" t="n">
        <v>44990</v>
      </c>
      <c r="G19" s="6">
        <f>IF(AND(C19&gt;0,J19="",AR19=""),1,"")</f>
        <v/>
      </c>
      <c r="I19" s="6">
        <f>IF(AND(F19&gt;0,J19="",AR19=""),IFERROR(VLOOKUP($C19,Справочник!$B$2:$F$13,2),""),"")</f>
        <v/>
      </c>
      <c r="K19" s="6" t="n">
        <v>26</v>
      </c>
      <c r="O19" s="6">
        <f>IF(J19="","",D19)</f>
        <v/>
      </c>
      <c r="P19" s="6">
        <f>IF(J19&gt;0,IFERROR(VLOOKUP($C19,Справочник!$B$2:$F$13,2),""),"")</f>
        <v/>
      </c>
      <c r="Q19" s="6">
        <f>IF(J19&gt;0,E19,"")</f>
        <v/>
      </c>
      <c r="R19" s="6" t="inlineStr">
        <is>
          <t>ФЗ-44</t>
        </is>
      </c>
      <c r="T19" s="9" t="inlineStr">
        <is>
          <t>Услуги</t>
        </is>
      </c>
      <c r="V19" s="6">
        <f>IFERROR(VLOOKUP($C19,Справочник!$B$2:$F$13,4),"")</f>
        <v/>
      </c>
      <c r="W19" s="10" t="inlineStr">
        <is>
          <t>Разработка технической документации</t>
        </is>
      </c>
      <c r="X19" s="7" t="n">
        <v>45012</v>
      </c>
      <c r="Y19" s="6">
        <f>IF(X19="","",O19)</f>
        <v/>
      </c>
      <c r="Z19" s="6">
        <f>IF(X19&gt;0,E19,"")</f>
        <v/>
      </c>
      <c r="AB19" s="6">
        <f>IF(AND(AA19&gt;0,AD19="",AR19=""),Y19,"")</f>
        <v/>
      </c>
      <c r="AC19" s="6">
        <f>IF(AND(AA19&gt;0,AD19="",AR19=""),Z19,"")</f>
        <v/>
      </c>
      <c r="AE19" s="6">
        <f>IF(AD19="","",Y19)</f>
        <v/>
      </c>
      <c r="AG19" s="6">
        <f>IF(AND(AD19&gt;0,AI19="",AR19=""),Y19,"")</f>
        <v/>
      </c>
      <c r="AH19" s="6">
        <f>IF(AND(AD19&gt;0,AI19="",AR19=""),Z19,"")</f>
        <v/>
      </c>
      <c r="AJ19" s="6">
        <f>IF(AND(AI19&gt;0,AL19="",AR19=""),Y19,"")</f>
        <v/>
      </c>
      <c r="AK19" s="6">
        <f>IF(AND(AI19&gt;0,AL19="",AR19=""),Z19,"")</f>
        <v/>
      </c>
      <c r="AM19" s="6">
        <f>IF(AND(AL19&gt;0,AR19="",AU19=""),D19,"")</f>
        <v/>
      </c>
      <c r="AN19" s="6">
        <f>IF(AND(AL19&gt;0,AP19="",AR19=""),Z19,"")</f>
        <v/>
      </c>
      <c r="AV19" s="16">
        <f>IF(AU19="","",D19)</f>
        <v/>
      </c>
      <c r="AY19" s="16">
        <f>IF(AU19&gt;0,AX19,"")</f>
        <v/>
      </c>
      <c r="AZ19" s="16">
        <f>IF(AU19&gt;0,AU19,"")</f>
        <v/>
      </c>
      <c r="BB19" s="19">
        <f>IF(BA19="","",O19)</f>
        <v/>
      </c>
      <c r="BC19" s="19">
        <f>IF(BA19&gt;0,E19,"")</f>
        <v/>
      </c>
      <c r="BD19" s="19">
        <f>IF(AND(BA19&gt;0,BF19="",AR19=""),BB19,"")</f>
        <v/>
      </c>
      <c r="BE19" s="19">
        <f>IF(BD19="","",E19)</f>
        <v/>
      </c>
      <c r="BG19" s="6">
        <f>IF(AND(BF19&gt;0,BK19="",AR19=""),BB19,"")</f>
        <v/>
      </c>
      <c r="BH19" s="6">
        <f>IF(BG19="","",E19)</f>
        <v/>
      </c>
      <c r="BL19" s="6">
        <f>IF(BK19="","",D19)</f>
        <v/>
      </c>
      <c r="BM19" s="6">
        <f>IF(BK19&gt;0,Q19,"")</f>
        <v/>
      </c>
    </row>
    <row r="20">
      <c r="B20" s="6" t="n">
        <v>29</v>
      </c>
      <c r="C20" s="6" t="inlineStr">
        <is>
          <t>ФЗ 38.27.05</t>
        </is>
      </c>
      <c r="D20" s="6">
        <f>IF(C20="","",1)</f>
        <v/>
      </c>
      <c r="E20" s="6">
        <f>IFERROR(VLOOKUP($C20,Справочник!$B$2:$F$13,3),"")</f>
        <v/>
      </c>
      <c r="F20" s="7" t="n">
        <v>44995</v>
      </c>
      <c r="G20" s="6">
        <f>IF(AND(C20&gt;0,J20="",AR20=""),1,"")</f>
        <v/>
      </c>
      <c r="I20" s="6">
        <f>IF(AND(F20&gt;0,J20="",AR20=""),IFERROR(VLOOKUP($C20,Справочник!$B$2:$F$13,2),""),"")</f>
        <v/>
      </c>
      <c r="K20" s="6" t="n">
        <v>29</v>
      </c>
      <c r="O20" s="6">
        <f>IF(J20="","",D20)</f>
        <v/>
      </c>
      <c r="P20" s="6">
        <f>IF(J20&gt;0,IFERROR(VLOOKUP($C20,Справочник!$B$2:$F$13,2),""),"")</f>
        <v/>
      </c>
      <c r="Q20" s="6">
        <f>IF(J20&gt;0,E20,"")</f>
        <v/>
      </c>
      <c r="R20" s="6" t="inlineStr">
        <is>
          <t>ФЗ-44</t>
        </is>
      </c>
      <c r="T20" s="9" t="inlineStr">
        <is>
          <t>Услуги</t>
        </is>
      </c>
      <c r="V20" s="6">
        <f>IFERROR(VLOOKUP($C20,Справочник!$B$2:$F$13,4),"")</f>
        <v/>
      </c>
      <c r="W20" s="10" t="inlineStr">
        <is>
          <t>Настройка и конфигурация серверов</t>
        </is>
      </c>
      <c r="Y20" s="6">
        <f>IF(X20="","",O20)</f>
        <v/>
      </c>
      <c r="Z20" s="6">
        <f>IF(X20&gt;0,E20,"")</f>
        <v/>
      </c>
      <c r="AB20" s="6">
        <f>IF(AND(AA20&gt;0,AD20="",AR20=""),Y20,"")</f>
        <v/>
      </c>
      <c r="AC20" s="6">
        <f>IF(AND(AA20&gt;0,AD20="",AR20=""),Z20,"")</f>
        <v/>
      </c>
      <c r="AE20" s="6">
        <f>IF(AD20="","",Y20)</f>
        <v/>
      </c>
      <c r="AG20" s="6">
        <f>IF(AND(AD20&gt;0,AI20="",AR20=""),Y20,"")</f>
        <v/>
      </c>
      <c r="AH20" s="6">
        <f>IF(AND(AD20&gt;0,AI20="",AR20=""),Z20,"")</f>
        <v/>
      </c>
      <c r="AJ20" s="6">
        <f>IF(AND(AI20&gt;0,AL20="",AR20=""),Y20,"")</f>
        <v/>
      </c>
      <c r="AK20" s="6">
        <f>IF(AND(AI20&gt;0,AL20="",AR20=""),Z20,"")</f>
        <v/>
      </c>
      <c r="AM20" s="6">
        <f>IF(AND(AL20&gt;0,AR20="",AU20=""),D20,"")</f>
        <v/>
      </c>
      <c r="AN20" s="6">
        <f>IF(AND(AL20&gt;0,AP20="",AR20=""),Z20,"")</f>
        <v/>
      </c>
      <c r="AV20" s="16">
        <f>IF(AU20="","",D20)</f>
        <v/>
      </c>
      <c r="AY20" s="16">
        <f>IF(AU20&gt;0,AX20,"")</f>
        <v/>
      </c>
      <c r="AZ20" s="16">
        <f>IF(AU20&gt;0,AU20,"")</f>
        <v/>
      </c>
      <c r="BB20" s="19">
        <f>IF(BA20="","",O20)</f>
        <v/>
      </c>
      <c r="BC20" s="19">
        <f>IF(BA20&gt;0,E20,"")</f>
        <v/>
      </c>
      <c r="BD20" s="19">
        <f>IF(AND(BA20&gt;0,BF20="",AR20=""),BB20,"")</f>
        <v/>
      </c>
      <c r="BE20" s="19">
        <f>IF(BD20="","",E20)</f>
        <v/>
      </c>
      <c r="BG20" s="6">
        <f>IF(AND(BF20&gt;0,BK20="",AR20=""),BB20,"")</f>
        <v/>
      </c>
      <c r="BH20" s="6">
        <f>IF(BG20="","",E20)</f>
        <v/>
      </c>
      <c r="BL20" s="6">
        <f>IF(BK20="","",D20)</f>
        <v/>
      </c>
      <c r="BM20" s="6">
        <f>IF(BK20&gt;0,Q20,"")</f>
        <v/>
      </c>
    </row>
    <row r="21">
      <c r="B21" s="6" t="n">
        <v>32</v>
      </c>
      <c r="C21" s="6" t="inlineStr">
        <is>
          <t>К 26.45.01</t>
        </is>
      </c>
      <c r="D21" s="6">
        <f>IF(C21="","",1)</f>
        <v/>
      </c>
      <c r="E21" s="6">
        <f>IFERROR(VLOOKUP($C21,Справочник!$B$2:$F$13,3),"")</f>
        <v/>
      </c>
      <c r="F21" s="7" t="n">
        <v>45000</v>
      </c>
      <c r="G21" s="6">
        <f>IF(AND(C21&gt;0,J21="",AR21=""),1,"")</f>
        <v/>
      </c>
      <c r="I21" s="6">
        <f>IF(AND(F21&gt;0,J21="",AR21=""),IFERROR(VLOOKUP($C21,Справочник!$B$2:$F$13,2),""),"")</f>
        <v/>
      </c>
      <c r="K21" s="6" t="n">
        <v>32</v>
      </c>
      <c r="O21" s="6">
        <f>IF(J21="","",D21)</f>
        <v/>
      </c>
      <c r="P21" s="6">
        <f>IF(J21&gt;0,IFERROR(VLOOKUP($C21,Справочник!$B$2:$F$13,2),""),"")</f>
        <v/>
      </c>
      <c r="Q21" s="6">
        <f>IF(J21&gt;0,E21,"")</f>
        <v/>
      </c>
      <c r="R21" s="6" t="inlineStr">
        <is>
          <t>КС</t>
        </is>
      </c>
      <c r="T21" s="9" t="inlineStr">
        <is>
          <t>Подряд КС</t>
        </is>
      </c>
      <c r="V21" s="6">
        <f>IFERROR(VLOOKUP($C21,Справочник!$B$2:$F$13,4),"")</f>
        <v/>
      </c>
      <c r="W21" s="10" t="inlineStr">
        <is>
          <t>Монтаж распределительных щитов</t>
        </is>
      </c>
      <c r="X21" s="7" t="n">
        <v>45028</v>
      </c>
      <c r="Y21" s="6">
        <f>IF(X21="","",O21)</f>
        <v/>
      </c>
      <c r="Z21" s="6">
        <f>IF(X21&gt;0,E21,"")</f>
        <v/>
      </c>
      <c r="AA21" s="7" t="n">
        <v>45028</v>
      </c>
      <c r="AB21" s="6">
        <f>IF(AND(AA21&gt;0,AD21="",AR21=""),Y21,"")</f>
        <v/>
      </c>
      <c r="AC21" s="6">
        <f>IF(AND(AA21&gt;0,AD21="",AR21=""),Z21,"")</f>
        <v/>
      </c>
      <c r="AE21" s="6">
        <f>IF(AD21="","",Y21)</f>
        <v/>
      </c>
      <c r="AG21" s="6">
        <f>IF(AND(AD21&gt;0,AI21="",AR21=""),Y21,"")</f>
        <v/>
      </c>
      <c r="AH21" s="6">
        <f>IF(AND(AD21&gt;0,AI21="",AR21=""),Z21,"")</f>
        <v/>
      </c>
      <c r="AJ21" s="6">
        <f>IF(AND(AI21&gt;0,AL21="",AR21=""),Y21,"")</f>
        <v/>
      </c>
      <c r="AK21" s="6">
        <f>IF(AND(AI21&gt;0,AL21="",AR21=""),Z21,"")</f>
        <v/>
      </c>
      <c r="AM21" s="6">
        <f>IF(AND(AL21&gt;0,AR21="",AU21=""),D21,"")</f>
        <v/>
      </c>
      <c r="AN21" s="6">
        <f>IF(AND(AL21&gt;0,AP21="",AR21=""),Z21,"")</f>
        <v/>
      </c>
      <c r="AV21" s="16">
        <f>IF(AU21="","",D21)</f>
        <v/>
      </c>
      <c r="AY21" s="16">
        <f>IF(AU21&gt;0,AX21,"")</f>
        <v/>
      </c>
      <c r="AZ21" s="16">
        <f>IF(AU21&gt;0,AU21,"")</f>
        <v/>
      </c>
      <c r="BB21" s="19">
        <f>IF(BA21="","",O21)</f>
        <v/>
      </c>
      <c r="BC21" s="19">
        <f>IF(BA21&gt;0,E21,"")</f>
        <v/>
      </c>
      <c r="BD21" s="19">
        <f>IF(AND(BA21&gt;0,BF21="",AR21=""),BB21,"")</f>
        <v/>
      </c>
      <c r="BE21" s="19">
        <f>IF(BD21="","",E21)</f>
        <v/>
      </c>
      <c r="BG21" s="6">
        <f>IF(AND(BF21&gt;0,BK21="",AR21=""),BB21,"")</f>
        <v/>
      </c>
      <c r="BH21" s="6">
        <f>IF(BG21="","",E21)</f>
        <v/>
      </c>
      <c r="BL21" s="6">
        <f>IF(BK21="","",D21)</f>
        <v/>
      </c>
      <c r="BM21" s="6">
        <f>IF(BK21&gt;0,Q21,"")</f>
        <v/>
      </c>
    </row>
    <row r="22">
      <c r="B22" s="6" t="n">
        <v>36</v>
      </c>
      <c r="C22" s="6" t="inlineStr">
        <is>
          <t>К 26.45.07</t>
        </is>
      </c>
      <c r="D22" s="6">
        <f>IF(C22="","",1)</f>
        <v/>
      </c>
      <c r="E22" s="6">
        <f>IFERROR(VLOOKUP($C22,Справочник!$B$2:$F$13,3),"")</f>
        <v/>
      </c>
      <c r="F22" s="7" t="n">
        <v>45005</v>
      </c>
      <c r="G22" s="6">
        <f>IF(AND(C22&gt;0,J22="",AR22=""),1,"")</f>
        <v/>
      </c>
      <c r="I22" s="6">
        <f>IF(AND(F22&gt;0,J22="",AR22=""),IFERROR(VLOOKUP($C22,Справочник!$B$2:$F$13,2),""),"")</f>
        <v/>
      </c>
      <c r="K22" s="6" t="n">
        <v>36</v>
      </c>
      <c r="O22" s="6">
        <f>IF(J22="","",D22)</f>
        <v/>
      </c>
      <c r="P22" s="6">
        <f>IF(J22&gt;0,IFERROR(VLOOKUP($C22,Справочник!$B$2:$F$13,2),""),"")</f>
        <v/>
      </c>
      <c r="Q22" s="6">
        <f>IF(J22&gt;0,E22,"")</f>
        <v/>
      </c>
      <c r="R22" s="6" t="inlineStr">
        <is>
          <t>КС</t>
        </is>
      </c>
      <c r="T22" s="9" t="inlineStr">
        <is>
          <t>Подряд КС</t>
        </is>
      </c>
      <c r="V22" s="6">
        <f>IFERROR(VLOOKUP($C22,Справочник!$B$2:$F$13,4),"")</f>
        <v/>
      </c>
      <c r="W22" s="10" t="inlineStr">
        <is>
          <t>Испытания и наладка системы</t>
        </is>
      </c>
      <c r="X22" s="7" t="n">
        <v>45033</v>
      </c>
      <c r="Y22" s="6">
        <f>IF(X22="","",O22)</f>
        <v/>
      </c>
      <c r="Z22" s="6">
        <f>IF(X22&gt;0,E22,"")</f>
        <v/>
      </c>
      <c r="AA22" s="7" t="n">
        <v>45033</v>
      </c>
      <c r="AB22" s="6">
        <f>IF(AND(AA22&gt;0,AD22="",AR22=""),Y22,"")</f>
        <v/>
      </c>
      <c r="AC22" s="6">
        <f>IF(AND(AA22&gt;0,AD22="",AR22=""),Z22,"")</f>
        <v/>
      </c>
      <c r="AD22" s="7" t="n">
        <v>45034</v>
      </c>
      <c r="AE22" s="6">
        <f>IF(AD22="","",Y22)</f>
        <v/>
      </c>
      <c r="AF22" s="6" t="inlineStr">
        <is>
          <t>Подписан КС</t>
        </is>
      </c>
      <c r="AG22" s="6">
        <f>IF(AND(AD22&gt;0,AI22="",AR22=""),Y22,"")</f>
        <v/>
      </c>
      <c r="AH22" s="6">
        <f>IF(AND(AD22&gt;0,AI22="",AR22=""),Z22,"")</f>
        <v/>
      </c>
      <c r="AI22" s="7" t="n">
        <v>45036</v>
      </c>
      <c r="AJ22" s="6">
        <f>IF(AND(AI22&gt;0,AL22="",AR22=""),Y22,"")</f>
        <v/>
      </c>
      <c r="AK22" s="6">
        <f>IF(AND(AI22&gt;0,AL22="",AR22=""),Z22,"")</f>
        <v/>
      </c>
      <c r="AM22" s="6">
        <f>IF(AND(AL22&gt;0,AR22="",AU22=""),D22,"")</f>
        <v/>
      </c>
      <c r="AN22" s="6">
        <f>IF(AND(AL22&gt;0,AP22="",AR22=""),Z22,"")</f>
        <v/>
      </c>
      <c r="AV22" s="16">
        <f>IF(AU22="","",D22)</f>
        <v/>
      </c>
      <c r="AY22" s="16">
        <f>IF(AU22&gt;0,AX22,"")</f>
        <v/>
      </c>
      <c r="AZ22" s="16">
        <f>IF(AU22&gt;0,AU22,"")</f>
        <v/>
      </c>
      <c r="BB22" s="19">
        <f>IF(BA22="","",O22)</f>
        <v/>
      </c>
      <c r="BC22" s="19">
        <f>IF(BA22&gt;0,E22,"")</f>
        <v/>
      </c>
      <c r="BD22" s="19">
        <f>IF(AND(BA22&gt;0,BF22="",AR22=""),BB22,"")</f>
        <v/>
      </c>
      <c r="BE22" s="19">
        <f>IF(BD22="","",E22)</f>
        <v/>
      </c>
      <c r="BG22" s="6">
        <f>IF(AND(BF22&gt;0,BK22="",AR22=""),BB22,"")</f>
        <v/>
      </c>
      <c r="BH22" s="6">
        <f>IF(BG22="","",E22)</f>
        <v/>
      </c>
      <c r="BL22" s="6">
        <f>IF(BK22="","",D22)</f>
        <v/>
      </c>
      <c r="BM22" s="6">
        <f>IF(BK22&gt;0,Q22,"")</f>
        <v/>
      </c>
    </row>
    <row r="23">
      <c r="B23" s="6" t="n">
        <v>55</v>
      </c>
      <c r="C23" s="6" t="inlineStr">
        <is>
          <t>К 26.45.01</t>
        </is>
      </c>
      <c r="D23" s="6">
        <f>IF(C23="","",1)</f>
        <v/>
      </c>
      <c r="E23" s="6">
        <f>IFERROR(VLOOKUP($C23,Справочник!$B$2:$F$13,3),"")</f>
        <v/>
      </c>
      <c r="F23" s="7" t="n">
        <v>45017</v>
      </c>
      <c r="G23" s="6">
        <f>IF(AND(C23&gt;0,J23="",AR23=""),1,"")</f>
        <v/>
      </c>
      <c r="I23" s="6">
        <f>IF(AND(F23&gt;0,J23="",AR23=""),IFERROR(VLOOKUP($C23,Справочник!$B$2:$F$13,2),""),"")</f>
        <v/>
      </c>
      <c r="K23" s="6" t="n">
        <v>55</v>
      </c>
      <c r="O23" s="6">
        <f>IF(J23="","",D23)</f>
        <v/>
      </c>
      <c r="P23" s="6">
        <f>IF(J23&gt;0,IFERROR(VLOOKUP($C23,Справочник!$B$2:$F$13,2),""),"")</f>
        <v/>
      </c>
      <c r="Q23" s="6">
        <f>IF(J23&gt;0,E23,"")</f>
        <v/>
      </c>
      <c r="R23" s="6" t="inlineStr">
        <is>
          <t>КС</t>
        </is>
      </c>
      <c r="T23" s="9" t="inlineStr">
        <is>
          <t>Подряд КС</t>
        </is>
      </c>
      <c r="V23" s="6">
        <f>IFERROR(VLOOKUP($C23,Справочник!$B$2:$F$13,4),"")</f>
        <v/>
      </c>
      <c r="W23" s="10" t="inlineStr">
        <is>
          <t>Пусконаладочные работы</t>
        </is>
      </c>
      <c r="Y23" s="6">
        <f>IF(X23="","",O23)</f>
        <v/>
      </c>
      <c r="Z23" s="6">
        <f>IF(X23&gt;0,E23,"")</f>
        <v/>
      </c>
      <c r="AB23" s="6">
        <f>IF(AND(AA23&gt;0,AD23="",AR23=""),Y23,"")</f>
        <v/>
      </c>
      <c r="AC23" s="6">
        <f>IF(AND(AA23&gt;0,AD23="",AR23=""),Z23,"")</f>
        <v/>
      </c>
      <c r="AE23" s="6">
        <f>IF(AD23="","",Y23)</f>
        <v/>
      </c>
      <c r="AG23" s="6">
        <f>IF(AND(AD23&gt;0,AI23="",AR23=""),Y23,"")</f>
        <v/>
      </c>
      <c r="AH23" s="6">
        <f>IF(AND(AD23&gt;0,AI23="",AR23=""),Z23,"")</f>
        <v/>
      </c>
      <c r="AJ23" s="6">
        <f>IF(AND(AI23&gt;0,AL23="",AR23=""),Y23,"")</f>
        <v/>
      </c>
      <c r="AK23" s="6">
        <f>IF(AND(AI23&gt;0,AL23="",AR23=""),Z23,"")</f>
        <v/>
      </c>
      <c r="AM23" s="6">
        <f>IF(AND(AL23&gt;0,AR23="",AU23=""),D23,"")</f>
        <v/>
      </c>
      <c r="AN23" s="6">
        <f>IF(AND(AL23&gt;0,AP23="",AR23=""),Z23,"")</f>
        <v/>
      </c>
      <c r="AV23" s="16">
        <f>IF(AU23="","",D23)</f>
        <v/>
      </c>
      <c r="AY23" s="16">
        <f>IF(AU23&gt;0,AX23,"")</f>
        <v/>
      </c>
      <c r="AZ23" s="16">
        <f>IF(AU23&gt;0,AU23,"")</f>
        <v/>
      </c>
      <c r="BB23" s="19">
        <f>IF(BA23="","",O23)</f>
        <v/>
      </c>
      <c r="BC23" s="19">
        <f>IF(BA23&gt;0,E23,"")</f>
        <v/>
      </c>
      <c r="BD23" s="19">
        <f>IF(AND(BA23&gt;0,BF23="",AR23=""),BB23,"")</f>
        <v/>
      </c>
      <c r="BE23" s="19">
        <f>IF(BD23="","",E23)</f>
        <v/>
      </c>
      <c r="BG23" s="6">
        <f>IF(AND(BF23&gt;0,BK23="",AR23=""),BB23,"")</f>
        <v/>
      </c>
      <c r="BH23" s="6">
        <f>IF(BG23="","",E23)</f>
        <v/>
      </c>
      <c r="BL23" s="6">
        <f>IF(BK23="","",D23)</f>
        <v/>
      </c>
      <c r="BM23" s="6">
        <f>IF(BK23&gt;0,Q23,"")</f>
        <v/>
      </c>
    </row>
  </sheetData>
  <mergeCells count="11">
    <mergeCell ref="AL2:AO2"/>
    <mergeCell ref="J2:V2"/>
    <mergeCell ref="F2:I2"/>
    <mergeCell ref="AU2:AZ2"/>
    <mergeCell ref="AD2:AK2"/>
    <mergeCell ref="BA2:BE2"/>
    <mergeCell ref="AP2:AT2"/>
    <mergeCell ref="BF2:BJ2"/>
    <mergeCell ref="B2:E2"/>
    <mergeCell ref="BK2:BN2"/>
    <mergeCell ref="X2:AC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2" max="2"/>
    <col width="16" customWidth="1" min="3" max="3"/>
    <col width="28" customWidth="1" min="4" max="4"/>
    <col width="16" customWidth="1" min="5" max="5"/>
    <col width="22" customWidth="1" min="6" max="6"/>
  </cols>
  <sheetData>
    <row r="1">
      <c r="A1" s="20" t="inlineStr"/>
      <c r="B1" s="20" t="inlineStr">
        <is>
          <t>Код позиции</t>
        </is>
      </c>
      <c r="C1" s="20" t="inlineStr">
        <is>
          <t>№ договора</t>
        </is>
      </c>
      <c r="D1" s="20" t="inlineStr">
        <is>
          <t>Наименование исполнителя</t>
        </is>
      </c>
      <c r="E1" s="20" t="inlineStr">
        <is>
          <t>ИНН</t>
        </is>
      </c>
      <c r="F1" s="20" t="inlineStr">
        <is>
          <t>Сумма договора, тыс</t>
        </is>
      </c>
    </row>
    <row r="2">
      <c r="A2" s="21" t="inlineStr"/>
      <c r="B2" s="21" t="inlineStr">
        <is>
          <t>К 28.48.05</t>
        </is>
      </c>
      <c r="C2" s="21" t="inlineStr">
        <is>
          <t>ДГ-001/2023</t>
        </is>
      </c>
      <c r="D2" s="21" t="inlineStr">
        <is>
          <t>ООО «ТехноСтрой»</t>
        </is>
      </c>
      <c r="E2" s="21" t="inlineStr">
        <is>
          <t>7701234567</t>
        </is>
      </c>
      <c r="F2" s="21" t="n">
        <v>1500</v>
      </c>
    </row>
    <row r="3">
      <c r="A3" s="21" t="inlineStr"/>
      <c r="B3" s="21" t="inlineStr">
        <is>
          <t>К 28.48.04</t>
        </is>
      </c>
      <c r="C3" s="21" t="inlineStr">
        <is>
          <t>ДГ-002/2023</t>
        </is>
      </c>
      <c r="D3" s="21" t="inlineStr">
        <is>
          <t>АО «СтройПроект»</t>
        </is>
      </c>
      <c r="E3" s="21" t="inlineStr">
        <is>
          <t>7709876543</t>
        </is>
      </c>
      <c r="F3" s="21" t="n">
        <v>2300</v>
      </c>
    </row>
    <row r="4">
      <c r="A4" s="21" t="inlineStr"/>
      <c r="B4" s="21" t="inlineStr">
        <is>
          <t>К 26.45.07</t>
        </is>
      </c>
      <c r="C4" s="21" t="inlineStr">
        <is>
          <t>ДГ-003/2023</t>
        </is>
      </c>
      <c r="D4" s="21" t="inlineStr">
        <is>
          <t>ИП Кузнецов А.В.</t>
        </is>
      </c>
      <c r="E4" s="21" t="inlineStr">
        <is>
          <t>772011223344</t>
        </is>
      </c>
      <c r="F4" s="21" t="n">
        <v>450</v>
      </c>
    </row>
    <row r="5">
      <c r="A5" s="21" t="inlineStr"/>
      <c r="B5" s="21" t="inlineStr">
        <is>
          <t>ФЗ 38.27.10</t>
        </is>
      </c>
      <c r="C5" s="21" t="inlineStr">
        <is>
          <t>ДГ-004/2023</t>
        </is>
      </c>
      <c r="D5" s="21" t="inlineStr">
        <is>
          <t>ООО «ДиджиталПро»</t>
        </is>
      </c>
      <c r="E5" s="21" t="inlineStr">
        <is>
          <t>7714567890</t>
        </is>
      </c>
      <c r="F5" s="21" t="n">
        <v>3800</v>
      </c>
    </row>
    <row r="6">
      <c r="A6" s="21" t="inlineStr"/>
      <c r="B6" s="21" t="inlineStr">
        <is>
          <t>ФЗ 38.27.09</t>
        </is>
      </c>
      <c r="C6" s="21" t="inlineStr">
        <is>
          <t>ДГ-005/2023</t>
        </is>
      </c>
      <c r="D6" s="21" t="inlineStr">
        <is>
          <t>ЗАО «Инфосистемы»</t>
        </is>
      </c>
      <c r="E6" s="21" t="inlineStr">
        <is>
          <t>7703214569</t>
        </is>
      </c>
      <c r="F6" s="21" t="n">
        <v>1200</v>
      </c>
    </row>
    <row r="7">
      <c r="A7" s="21" t="inlineStr"/>
      <c r="B7" s="21" t="inlineStr">
        <is>
          <t>ФЗ 38.27.08</t>
        </is>
      </c>
      <c r="C7" s="21" t="inlineStr">
        <is>
          <t>ДГ-006/2023</t>
        </is>
      </c>
      <c r="D7" s="21" t="inlineStr">
        <is>
          <t>ООО «АльфаТех»</t>
        </is>
      </c>
      <c r="E7" s="21" t="inlineStr">
        <is>
          <t>7706543217</t>
        </is>
      </c>
      <c r="F7" s="21" t="n">
        <v>2700</v>
      </c>
    </row>
    <row r="8">
      <c r="A8" s="21" t="inlineStr"/>
      <c r="B8" s="21" t="inlineStr">
        <is>
          <t>ФЗ 38.27.07</t>
        </is>
      </c>
      <c r="C8" s="21" t="inlineStr">
        <is>
          <t>ДГ-007/2023</t>
        </is>
      </c>
      <c r="D8" s="21" t="inlineStr">
        <is>
          <t>АО «ОмегаГрупп»</t>
        </is>
      </c>
      <c r="E8" s="21" t="inlineStr">
        <is>
          <t>7708901236</t>
        </is>
      </c>
      <c r="F8" s="21" t="n">
        <v>980</v>
      </c>
    </row>
    <row r="9">
      <c r="A9" s="21" t="inlineStr"/>
      <c r="B9" s="21" t="inlineStr">
        <is>
          <t>ФЗ 38.27.05</t>
        </is>
      </c>
      <c r="C9" s="21" t="inlineStr">
        <is>
          <t>ДГ-008/2023</t>
        </is>
      </c>
      <c r="D9" s="21" t="inlineStr">
        <is>
          <t>ООО «БетаСофт»</t>
        </is>
      </c>
      <c r="E9" s="21" t="inlineStr">
        <is>
          <t>7712345678</t>
        </is>
      </c>
      <c r="F9" s="21" t="n">
        <v>4100</v>
      </c>
    </row>
    <row r="10">
      <c r="A10" s="21" t="inlineStr"/>
      <c r="B10" s="21" t="inlineStr">
        <is>
          <t>К 26.45.01</t>
        </is>
      </c>
      <c r="C10" s="21" t="inlineStr">
        <is>
          <t>ДГ-009/2023</t>
        </is>
      </c>
      <c r="D10" s="21" t="inlineStr">
        <is>
          <t>ГУП «Горводоканал»</t>
        </is>
      </c>
      <c r="E10" s="21" t="inlineStr">
        <is>
          <t>7715678901</t>
        </is>
      </c>
      <c r="F10" s="21" t="n">
        <v>6500</v>
      </c>
    </row>
    <row r="11">
      <c r="A11" s="21" t="inlineStr"/>
      <c r="B11" s="21" t="inlineStr">
        <is>
          <t>К 28.48.03</t>
        </is>
      </c>
      <c r="C11" s="21" t="inlineStr">
        <is>
          <t>ДГ-010/2023</t>
        </is>
      </c>
      <c r="D11" s="21" t="inlineStr">
        <is>
          <t>ООО «ТехМонтаж»</t>
        </is>
      </c>
      <c r="E11" s="21" t="inlineStr">
        <is>
          <t>7718901234</t>
        </is>
      </c>
      <c r="F11" s="21" t="n">
        <v>1750</v>
      </c>
    </row>
    <row r="12">
      <c r="A12" s="21" t="inlineStr"/>
      <c r="B12" s="21" t="inlineStr">
        <is>
          <t>К 26.45.06</t>
        </is>
      </c>
      <c r="C12" s="21" t="inlineStr">
        <is>
          <t>ДГ-011/2023</t>
        </is>
      </c>
      <c r="D12" s="21" t="inlineStr">
        <is>
          <t>ООО «КабельСтрой»</t>
        </is>
      </c>
      <c r="E12" s="21" t="inlineStr">
        <is>
          <t>7721234567</t>
        </is>
      </c>
      <c r="F12" s="21" t="n">
        <v>3200</v>
      </c>
    </row>
    <row r="13">
      <c r="A13" s="21" t="inlineStr"/>
      <c r="B13" s="21" t="inlineStr">
        <is>
          <t>ФЗ 38.27.06</t>
        </is>
      </c>
      <c r="C13" s="21" t="inlineStr">
        <is>
          <t>ДГ-012/2023</t>
        </is>
      </c>
      <c r="D13" s="21" t="inlineStr">
        <is>
          <t>АО «ПромАвтоматика»</t>
        </is>
      </c>
      <c r="E13" s="21" t="inlineStr">
        <is>
          <t>7724567890</t>
        </is>
      </c>
      <c r="F13" s="21" t="n">
        <v>2150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2026-06-03T14:59:23Z</dcterms:created>
  <dcterms:modified xsi:type="dcterms:W3CDTF">2026-06-03T14:59:23Z</dcterms:modified>
</cp:coreProperties>
</file>